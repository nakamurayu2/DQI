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cinc.local\develop\inter_project\eModelBase\エンジニアリングプロセス(SVNシャドウ)\テンプレート\内部レビュー\"/>
    </mc:Choice>
  </mc:AlternateContent>
  <bookViews>
    <workbookView xWindow="8895" yWindow="120" windowWidth="18810" windowHeight="6900" tabRatio="490"/>
  </bookViews>
  <sheets>
    <sheet name="表紙" sheetId="125" r:id="rId1"/>
    <sheet name="マニュアル" sheetId="64" r:id="rId2"/>
    <sheet name="レビュー管理" sheetId="7" r:id="rId3"/>
    <sheet name="レビュー承認手順" sheetId="148" r:id="rId4"/>
    <sheet name="レビュー案内" sheetId="142" r:id="rId5"/>
    <sheet name="承認依頼" sheetId="143" r:id="rId6"/>
    <sheet name="集計結果" sheetId="127" r:id="rId7"/>
    <sheet name="記録#1" sheetId="128" r:id="rId8"/>
    <sheet name="記録#TMP" sheetId="145" r:id="rId9"/>
    <sheet name="選択肢定義" sheetId="5" r:id="rId10"/>
    <sheet name="テンプレート変更履歴" sheetId="126" r:id="rId11"/>
    <sheet name="ドキュメント指摘計測" sheetId="146" r:id="rId12"/>
    <sheet name="ドキュメント指摘グラフ" sheetId="147" r:id="rId13"/>
  </sheets>
  <functionGroups builtInGroupCount="18"/>
  <externalReferences>
    <externalReference r:id="rId14"/>
    <externalReference r:id="rId15"/>
  </externalReferences>
  <definedNames>
    <definedName name="_xlnm._FilterDatabase" localSheetId="2" hidden="1">レビュー管理!$B$10:$K$12</definedName>
    <definedName name="_xlnm._FilterDatabase" localSheetId="7" hidden="1">'記録#1'!$A$49:$AG$54</definedName>
    <definedName name="_xlnm._FilterDatabase" localSheetId="8" hidden="1">'記録#TMP'!$A$49:$AG$54</definedName>
    <definedName name="_xlnm._FilterDatabase" localSheetId="6" hidden="1">#REF!</definedName>
    <definedName name="CC" localSheetId="4">レビュー案内!$C$18</definedName>
    <definedName name="CC">承認依頼!$C$10</definedName>
    <definedName name="LW.DT.C.No_R" localSheetId="7">'記録#1'!$C$49</definedName>
    <definedName name="LW.DT.C.No_R" localSheetId="8">'記録#TMP'!$C$49</definedName>
    <definedName name="LW.IT" localSheetId="7">'記録#1'!$A$49:$AG$54</definedName>
    <definedName name="LW.IT" localSheetId="8">'記録#TMP'!$49:$54</definedName>
    <definedName name="LW.IT.C.AssignedTo_R" localSheetId="7">'記録#1'!$T$49</definedName>
    <definedName name="LW.IT.C.AssignedTo_R" localSheetId="8">'記録#TMP'!$T$49</definedName>
    <definedName name="LW.IT.C.ConfirmedBy_R" localSheetId="7">'記録#1'!$X$49</definedName>
    <definedName name="LW.IT.C.ConfirmedBy_R" localSheetId="8">'記録#TMP'!$X$49</definedName>
    <definedName name="LW.IT.C.CustomText1_R" localSheetId="7">'記録#1'!$H$49</definedName>
    <definedName name="LW.IT.C.CustomText1_R" localSheetId="8">'記録#TMP'!$H$49</definedName>
    <definedName name="LW.IT.C.CustomText2_R" localSheetId="7">'記録#1'!$I$49</definedName>
    <definedName name="LW.IT.C.CustomText2_R" localSheetId="8">'記録#TMP'!$I$49</definedName>
    <definedName name="LW.IT.C.CustomText5_R" localSheetId="7">'記録#1'!$J$49</definedName>
    <definedName name="LW.IT.C.CustomText5_R" localSheetId="8">'記録#TMP'!$J$49</definedName>
    <definedName name="LW.IT.C.DateConfirmed_R" localSheetId="7">'記録#1'!$AB$49</definedName>
    <definedName name="LW.IT.C.DateConfirmed_R" localSheetId="8">'記録#TMP'!$AB$49</definedName>
    <definedName name="LW.IT.C.DateFixed_R" localSheetId="7">'記録#1'!$V$49</definedName>
    <definedName name="LW.IT.C.DateFixed_R" localSheetId="8">'記録#TMP'!$V$49</definedName>
    <definedName name="LW.IT.C.Description_R" localSheetId="7">'記録#1'!$K$49</definedName>
    <definedName name="LW.IT.C.Description_R" localSheetId="8">'記録#TMP'!$K$49</definedName>
    <definedName name="LW.IT.C.Importance_R" localSheetId="7">'記録#1'!$G$49</definedName>
    <definedName name="LW.IT.C.Importance_R" localSheetId="8">'記録#TMP'!$G$49</definedName>
    <definedName name="LW.IT.C.LID_R" localSheetId="7">'記録#1'!$A$49</definedName>
    <definedName name="LW.IT.C.LID_R" localSheetId="8">'記録#TMP'!$A$49</definedName>
    <definedName name="LW.IT.C.NeedToFix_R" localSheetId="7">'記録#1'!$S$49</definedName>
    <definedName name="LW.IT.C.NeedToFix_R" localSheetId="8">'記録#TMP'!$S$49</definedName>
    <definedName name="LW.IT.C.OutlinePath_R" localSheetId="7">'記録#1'!$D$49</definedName>
    <definedName name="LW.IT.C.OutlinePath_R" localSheetId="8">'記録#TMP'!$D$49</definedName>
    <definedName name="LW.IT.C.Reason_R" localSheetId="7">'記録#1'!$O$49</definedName>
    <definedName name="LW.IT.C.Reason_R" localSheetId="8">'記録#TMP'!$O$49</definedName>
    <definedName name="LW.IT.C.ReportedBy_R" localSheetId="7">'記録#1'!$F$49</definedName>
    <definedName name="LW.IT.C.ReportedBy_R" localSheetId="8">'記録#TMP'!$F$49</definedName>
    <definedName name="LW.IT.C.Resolution_R" localSheetId="7">'記録#1'!$U$49</definedName>
    <definedName name="LW.IT.C.Resolution_R" localSheetId="8">'記録#TMP'!$U$49</definedName>
    <definedName name="LW.IT.C.Status_R" localSheetId="7">'記録#1'!$AD$49</definedName>
    <definedName name="LW.IT.C.Status_R" localSheetId="8">'記録#TMP'!$AD$49</definedName>
    <definedName name="LW.IT.C.Type_R" localSheetId="7">'記録#1'!$E$49</definedName>
    <definedName name="LW.IT.C.Type_R" localSheetId="8">'記録#TMP'!$E$49</definedName>
    <definedName name="LW.RvFile_01_QwA6AFwAdABhAGsAZQB0AGEAbgBpAFwAdwBvAHIAawBcAEwAYQBrAGUAdwBvAG8AZADGMPMw1zDsMPwwyDBfABZZ6JDVTthp_zCBiUJsmlupf_ww0zDlMPwwLgByAGUAdgB4AA" localSheetId="8">'記録#TMP'!$A$1</definedName>
    <definedName name="LW.RvFile_01_XABcAGQAYwBpAG4AYwAuAGwAbwBjAGEAbABcAGQAZQB2AGUAbABvAHAAXABwAHIAbwBqAGUAYwB0AFwAUAA2ADAANwA3ADAAeAB4AHgAXACoMPMwuDDLMKIw6jDzMLAwXAAwADIAXwDsMPMwuDDBMKcwwzCrMIuVenbVMKcw.DC6MDEAXAAxADAAXwCFUeiQ7DDTMOUw.DBc" localSheetId="7">'記録#1'!$A$1</definedName>
    <definedName name="LW.RvFile_02_AKFcLGfFYlNfBlJcABZZ6JDVTthp7DDTMOUw.DAuAHIAZQB2AHgA" localSheetId="7">'記録#1'!$A$1</definedName>
    <definedName name="No" localSheetId="7">'記録#1'!$A$49</definedName>
    <definedName name="No" localSheetId="8">'記録#TMP'!$A$49</definedName>
    <definedName name="_xlnm.Print_Area" localSheetId="6">集計結果!$A$1:$O$54</definedName>
    <definedName name="Z_033768C8_7229_45E0_8FD2_F52A7C751666_.wvu.FilterData" localSheetId="2" hidden="1">レビュー管理!$C$10:$Z$12</definedName>
    <definedName name="Z_0A72D81E_05E6_4579_813E_A576F86B9BF5_.wvu.FilterData" localSheetId="7" hidden="1">'記録#1'!$A$49:$AL$53</definedName>
    <definedName name="Z_0A72D81E_05E6_4579_813E_A576F86B9BF5_.wvu.FilterData" localSheetId="8" hidden="1">'記録#TMP'!$A$49:$AL$53</definedName>
    <definedName name="Z_0A72D81E_05E6_4579_813E_A576F86B9BF5_.wvu.Rows" localSheetId="7" hidden="1">'記録#1'!$20:$26</definedName>
    <definedName name="Z_0A72D81E_05E6_4579_813E_A576F86B9BF5_.wvu.Rows" localSheetId="8" hidden="1">'記録#TMP'!$20:$26</definedName>
    <definedName name="Z_0B0C28B3_CAE7_466F_B847_0E084213D52D_.wvu.FilterData" localSheetId="2" hidden="1">レビュー管理!$A$10:$Z$10</definedName>
    <definedName name="Z_0B0C28B3_CAE7_466F_B847_0E084213D52D_.wvu.FilterData" localSheetId="7" hidden="1">'記録#1'!$A$49:$AL$53</definedName>
    <definedName name="Z_0B0C28B3_CAE7_466F_B847_0E084213D52D_.wvu.FilterData" localSheetId="8" hidden="1">'記録#TMP'!$A$49:$AL$53</definedName>
    <definedName name="Z_0B0C28B3_CAE7_466F_B847_0E084213D52D_.wvu.Rows" localSheetId="7" hidden="1">'記録#1'!$20:$26</definedName>
    <definedName name="Z_0B0C28B3_CAE7_466F_B847_0E084213D52D_.wvu.Rows" localSheetId="8" hidden="1">'記録#TMP'!$20:$26</definedName>
    <definedName name="Z_0D09563C_56CD_41AF_80ED_69ABD3012545_.wvu.FilterData" localSheetId="2" hidden="1">レビュー管理!$A$10:$Z$10</definedName>
    <definedName name="Z_15443C2D_82C1_4588_8195_8BD954D3C498_.wvu.FilterData" localSheetId="2" hidden="1">レビュー管理!$A$10:$Z$10</definedName>
    <definedName name="Z_15443C2D_82C1_4588_8195_8BD954D3C498_.wvu.FilterData" localSheetId="7" hidden="1">'記録#1'!$A$49:$AL$53</definedName>
    <definedName name="Z_15443C2D_82C1_4588_8195_8BD954D3C498_.wvu.FilterData" localSheetId="8" hidden="1">'記録#TMP'!$A$49:$AL$53</definedName>
    <definedName name="Z_15443C2D_82C1_4588_8195_8BD954D3C498_.wvu.Rows" localSheetId="7" hidden="1">'記録#1'!$20:$26</definedName>
    <definedName name="Z_15443C2D_82C1_4588_8195_8BD954D3C498_.wvu.Rows" localSheetId="8" hidden="1">'記録#TMP'!$20:$26</definedName>
    <definedName name="Z_1709BFE4_3254_45B4_AFD2_AF4591A7B2EA_.wvu.FilterData" localSheetId="2" hidden="1">レビュー管理!$A$10:$Z$10</definedName>
    <definedName name="Z_1709BFE4_3254_45B4_AFD2_AF4591A7B2EA_.wvu.FilterData" localSheetId="7" hidden="1">'記録#1'!$A$49:$AL$53</definedName>
    <definedName name="Z_1709BFE4_3254_45B4_AFD2_AF4591A7B2EA_.wvu.FilterData" localSheetId="8" hidden="1">'記録#TMP'!$A$49:$AL$53</definedName>
    <definedName name="Z_1709BFE4_3254_45B4_AFD2_AF4591A7B2EA_.wvu.Rows" localSheetId="7" hidden="1">'記録#1'!$20:$26</definedName>
    <definedName name="Z_1709BFE4_3254_45B4_AFD2_AF4591A7B2EA_.wvu.Rows" localSheetId="8" hidden="1">'記録#TMP'!$20:$26</definedName>
    <definedName name="Z_1A53274C_F912_48F6_993C_CE18D78A77D0_.wvu.FilterData" localSheetId="2" hidden="1">レビュー管理!$A$10:$Z$10</definedName>
    <definedName name="Z_1A53274C_F912_48F6_993C_CE18D78A77D0_.wvu.FilterData" localSheetId="7" hidden="1">'記録#1'!$A$49:$AL$53</definedName>
    <definedName name="Z_1A53274C_F912_48F6_993C_CE18D78A77D0_.wvu.FilterData" localSheetId="8" hidden="1">'記録#TMP'!$A$49:$AL$53</definedName>
    <definedName name="Z_1A53274C_F912_48F6_993C_CE18D78A77D0_.wvu.Rows" localSheetId="7" hidden="1">'記録#1'!$20:$26</definedName>
    <definedName name="Z_1A53274C_F912_48F6_993C_CE18D78A77D0_.wvu.Rows" localSheetId="8" hidden="1">'記録#TMP'!$20:$26</definedName>
    <definedName name="Z_208C4BE9_EB13_412E_87DB_6F6EF676AC78_.wvu.FilterData" localSheetId="2" hidden="1">レビュー管理!$C$10:$Z$12</definedName>
    <definedName name="Z_208C4BE9_EB13_412E_87DB_6F6EF676AC78_.wvu.FilterData" localSheetId="7" hidden="1">'記録#1'!$A$49:$AL$53</definedName>
    <definedName name="Z_208C4BE9_EB13_412E_87DB_6F6EF676AC78_.wvu.FilterData" localSheetId="8" hidden="1">'記録#TMP'!$A$49:$AL$53</definedName>
    <definedName name="Z_208C4BE9_EB13_412E_87DB_6F6EF676AC78_.wvu.Rows" localSheetId="7" hidden="1">'記録#1'!$20:$26</definedName>
    <definedName name="Z_208C4BE9_EB13_412E_87DB_6F6EF676AC78_.wvu.Rows" localSheetId="8" hidden="1">'記録#TMP'!$20:$26</definedName>
    <definedName name="Z_269C6D39_453A_4868_8EC9_B826196E7834_.wvu.FilterData" localSheetId="2" hidden="1">レビュー管理!$A$10:$Z$10</definedName>
    <definedName name="Z_26A784B3_8BCD_464C_83F6_BC08FA3685DC_.wvu.FilterData" localSheetId="2" hidden="1">レビュー管理!#REF!</definedName>
    <definedName name="Z_2B1A7647_068A_4700_9380_D5CDF5E697E4_.wvu.FilterData" localSheetId="2" hidden="1">レビュー管理!$C$10:$Z$10</definedName>
    <definedName name="Z_304AF253_2D3E_4834_B2BE_2B013C01C317_.wvu.FilterData" localSheetId="2" hidden="1">レビュー管理!$A$10:$Z$10</definedName>
    <definedName name="Z_304AF253_2D3E_4834_B2BE_2B013C01C317_.wvu.FilterData" localSheetId="7" hidden="1">'記録#1'!$A$49:$AL$53</definedName>
    <definedName name="Z_304AF253_2D3E_4834_B2BE_2B013C01C317_.wvu.FilterData" localSheetId="8" hidden="1">'記録#TMP'!$A$49:$AL$53</definedName>
    <definedName name="Z_304AF253_2D3E_4834_B2BE_2B013C01C317_.wvu.Rows" localSheetId="7" hidden="1">'記録#1'!$20:$26</definedName>
    <definedName name="Z_304AF253_2D3E_4834_B2BE_2B013C01C317_.wvu.Rows" localSheetId="8" hidden="1">'記録#TMP'!$20:$26</definedName>
    <definedName name="Z_33963FA6_C7E5_42C8_826F_295E9973DCFD_.wvu.FilterData" localSheetId="2" hidden="1">レビュー管理!$A$10:$Z$10</definedName>
    <definedName name="Z_421CB3D9_2E9C_4AEA_B7B0_464183A0C67A_.wvu.FilterData" localSheetId="2" hidden="1">レビュー管理!$A$10:$Z$10</definedName>
    <definedName name="Z_421CB3D9_2E9C_4AEA_B7B0_464183A0C67A_.wvu.FilterData" localSheetId="7" hidden="1">'記録#1'!$A$49:$AL$53</definedName>
    <definedName name="Z_421CB3D9_2E9C_4AEA_B7B0_464183A0C67A_.wvu.FilterData" localSheetId="8" hidden="1">'記録#TMP'!$A$49:$AL$53</definedName>
    <definedName name="Z_421CB3D9_2E9C_4AEA_B7B0_464183A0C67A_.wvu.Rows" localSheetId="7" hidden="1">'記録#1'!$20:$26</definedName>
    <definedName name="Z_421CB3D9_2E9C_4AEA_B7B0_464183A0C67A_.wvu.Rows" localSheetId="8" hidden="1">'記録#TMP'!$20:$26</definedName>
    <definedName name="Z_50634D19_0161_4F5A_B253_23B6BCEA81D9_.wvu.FilterData" localSheetId="2" hidden="1">レビュー管理!#REF!</definedName>
    <definedName name="Z_50634D19_0161_4F5A_B253_23B6BCEA81D9_.wvu.FilterData" localSheetId="7" hidden="1">'記録#1'!$A$49:$AL$53</definedName>
    <definedName name="Z_50634D19_0161_4F5A_B253_23B6BCEA81D9_.wvu.FilterData" localSheetId="8" hidden="1">'記録#TMP'!$A$49:$AL$53</definedName>
    <definedName name="Z_50634D19_0161_4F5A_B253_23B6BCEA81D9_.wvu.Rows" localSheetId="7" hidden="1">'記録#1'!$20:$26</definedName>
    <definedName name="Z_50634D19_0161_4F5A_B253_23B6BCEA81D9_.wvu.Rows" localSheetId="8" hidden="1">'記録#TMP'!$20:$26</definedName>
    <definedName name="Z_53F640E6_A88B_4EBD_B8C8_22A3C60C8E0F_.wvu.FilterData" localSheetId="2" hidden="1">レビュー管理!$A$10:$Z$10</definedName>
    <definedName name="Z_5422F15B_159A_41D9_916F_36400AB3DE42_.wvu.Cols" localSheetId="2" hidden="1">レビュー管理!#REF!,レビュー管理!#REF!</definedName>
    <definedName name="Z_5422F15B_159A_41D9_916F_36400AB3DE42_.wvu.FilterData" localSheetId="2" hidden="1">レビュー管理!$C$10:$Z$10</definedName>
    <definedName name="Z_5BD7B207_D22A_47D1_A94F_34761CDDE52B_.wvu.FilterData" localSheetId="2" hidden="1">レビュー管理!$A$10:$Z$10</definedName>
    <definedName name="Z_75B9C544_B173_4AEB_BD3C_B8992687E9B7_.wvu.FilterData" localSheetId="2" hidden="1">レビュー管理!$A$10:$Z$10</definedName>
    <definedName name="Z_873D661F_EF7F_4519_A522_2A0E36768563_.wvu.FilterData" localSheetId="2" hidden="1">レビュー管理!$A$10:$Z$10</definedName>
    <definedName name="Z_9380E699_E27C_4311_8B8B_52DCF8894965_.wvu.Cols" localSheetId="2" hidden="1">レビュー管理!#REF!,レビュー管理!#REF!</definedName>
    <definedName name="Z_9380E699_E27C_4311_8B8B_52DCF8894965_.wvu.FilterData" localSheetId="2" hidden="1">レビュー管理!$C$10:$Z$10</definedName>
    <definedName name="Z_9A298510_BEA3_4CBD_B3A4_C8015D814BFE_.wvu.FilterData" localSheetId="2" hidden="1">レビュー管理!$A$10:$Z$10</definedName>
    <definedName name="Z_9A298510_BEA3_4CBD_B3A4_C8015D814BFE_.wvu.FilterData" localSheetId="7" hidden="1">'記録#1'!$A$49:$AL$53</definedName>
    <definedName name="Z_9A298510_BEA3_4CBD_B3A4_C8015D814BFE_.wvu.FilterData" localSheetId="8" hidden="1">'記録#TMP'!$A$49:$AL$53</definedName>
    <definedName name="Z_9A298510_BEA3_4CBD_B3A4_C8015D814BFE_.wvu.Rows" localSheetId="7" hidden="1">'記録#1'!$20:$26</definedName>
    <definedName name="Z_9A298510_BEA3_4CBD_B3A4_C8015D814BFE_.wvu.Rows" localSheetId="8" hidden="1">'記録#TMP'!$20:$26</definedName>
    <definedName name="Z_B00E6704_ADFE_4AE4_BE35_1CFBFA5415F2_.wvu.FilterData" localSheetId="2" hidden="1">レビュー管理!$A$10:$Z$10</definedName>
    <definedName name="Z_B00E6704_ADFE_4AE4_BE35_1CFBFA5415F2_.wvu.FilterData" localSheetId="7" hidden="1">'記録#1'!$A$49:$AL$53</definedName>
    <definedName name="Z_B00E6704_ADFE_4AE4_BE35_1CFBFA5415F2_.wvu.FilterData" localSheetId="8" hidden="1">'記録#TMP'!$A$49:$AL$53</definedName>
    <definedName name="Z_B00E6704_ADFE_4AE4_BE35_1CFBFA5415F2_.wvu.Rows" localSheetId="7" hidden="1">'記録#1'!$20:$26</definedName>
    <definedName name="Z_B00E6704_ADFE_4AE4_BE35_1CFBFA5415F2_.wvu.Rows" localSheetId="8" hidden="1">'記録#TMP'!$20:$26</definedName>
    <definedName name="Z_B39F8029_F1A6_480B_92FA_2B36CD899524_.wvu.FilterData" localSheetId="2" hidden="1">レビュー管理!$A$10:$Z$10</definedName>
    <definedName name="Z_B70F11BD_912F_4009_8E93_196C16439E21_.wvu.FilterData" localSheetId="2" hidden="1">レビュー管理!$A$10:$Z$10</definedName>
    <definedName name="Z_C38B0056_DCFC_4A2A_9719_931C5C91C0B3_.wvu.FilterData" localSheetId="7" hidden="1">'記録#1'!$A$49:$AL$53</definedName>
    <definedName name="Z_C38B0056_DCFC_4A2A_9719_931C5C91C0B3_.wvu.FilterData" localSheetId="8" hidden="1">'記録#TMP'!$A$49:$AL$53</definedName>
    <definedName name="Z_C38B0056_DCFC_4A2A_9719_931C5C91C0B3_.wvu.Rows" localSheetId="7" hidden="1">'記録#1'!$20:$26</definedName>
    <definedName name="Z_C38B0056_DCFC_4A2A_9719_931C5C91C0B3_.wvu.Rows" localSheetId="8" hidden="1">'記録#TMP'!$20:$26</definedName>
    <definedName name="Z_C637E119_A4B9_4CE8_8232_8BCD47CAF8D6_.wvu.FilterData" localSheetId="2" hidden="1">レビュー管理!$C$10:$Z$10</definedName>
    <definedName name="Z_D774D68E_E0BF_4E45_BB84_0287B99BBD04_.wvu.FilterData" localSheetId="2" hidden="1">レビュー管理!$A$10:$Z$10</definedName>
    <definedName name="Z_D7AEA922_4F68_4E62_BF47_C14EFC12E7DC_.wvu.FilterData" localSheetId="2" hidden="1">レビュー管理!$C$10:$Z$12</definedName>
    <definedName name="Z_D7AEA922_4F68_4E62_BF47_C14EFC12E7DC_.wvu.FilterData" localSheetId="7" hidden="1">'記録#1'!$A$49:$AL$53</definedName>
    <definedName name="Z_D7AEA922_4F68_4E62_BF47_C14EFC12E7DC_.wvu.FilterData" localSheetId="8" hidden="1">'記録#TMP'!$A$49:$AL$53</definedName>
    <definedName name="Z_D7AEA922_4F68_4E62_BF47_C14EFC12E7DC_.wvu.Rows" localSheetId="7" hidden="1">'記録#1'!$20:$26</definedName>
    <definedName name="Z_D7AEA922_4F68_4E62_BF47_C14EFC12E7DC_.wvu.Rows" localSheetId="8" hidden="1">'記録#TMP'!$20:$26</definedName>
    <definedName name="Z_E4F2B051_A5A3_433E_BCB0_1B4BD7617880_.wvu.FilterData" localSheetId="2" hidden="1">レビュー管理!$C$10:$Z$12</definedName>
    <definedName name="Z_E4F2B051_A5A3_433E_BCB0_1B4BD7617880_.wvu.FilterData" localSheetId="7" hidden="1">'記録#1'!$A$49:$AL$53</definedName>
    <definedName name="Z_E4F2B051_A5A3_433E_BCB0_1B4BD7617880_.wvu.FilterData" localSheetId="8" hidden="1">'記録#TMP'!$A$49:$AL$53</definedName>
    <definedName name="Z_E4F2B051_A5A3_433E_BCB0_1B4BD7617880_.wvu.Rows" localSheetId="7" hidden="1">'記録#1'!$20:$26</definedName>
    <definedName name="Z_E4F2B051_A5A3_433E_BCB0_1B4BD7617880_.wvu.Rows" localSheetId="8" hidden="1">'記録#TMP'!$20:$26</definedName>
    <definedName name="Z_E7DAB086_C13D_4DC1_A526_2BC54D284F02_.wvu.FilterData" localSheetId="2" hidden="1">レビュー管理!$A$10:$Z$10</definedName>
    <definedName name="Z_E7DAB086_C13D_4DC1_A526_2BC54D284F02_.wvu.FilterData" localSheetId="7" hidden="1">'記録#1'!$A$49:$AL$53</definedName>
    <definedName name="Z_E7DAB086_C13D_4DC1_A526_2BC54D284F02_.wvu.FilterData" localSheetId="8" hidden="1">'記録#TMP'!$A$49:$AL$53</definedName>
    <definedName name="Z_E7DAB086_C13D_4DC1_A526_2BC54D284F02_.wvu.Rows" localSheetId="7" hidden="1">'記録#1'!$20:$26</definedName>
    <definedName name="Z_E7DAB086_C13D_4DC1_A526_2BC54D284F02_.wvu.Rows" localSheetId="8" hidden="1">'記録#TMP'!$20:$26</definedName>
    <definedName name="Z_EADB27D0_557C_4F7A_AAD5_53A1ADAFF5E2_.wvu.FilterData" localSheetId="2" hidden="1">レビュー管理!$A$10:$Z$10</definedName>
    <definedName name="Z_EADB27D0_557C_4F7A_AAD5_53A1ADAFF5E2_.wvu.FilterData" localSheetId="7" hidden="1">'記録#1'!$A$49:$AL$53</definedName>
    <definedName name="Z_EADB27D0_557C_4F7A_AAD5_53A1ADAFF5E2_.wvu.FilterData" localSheetId="8" hidden="1">'記録#TMP'!$A$49:$AL$53</definedName>
    <definedName name="Z_EADB27D0_557C_4F7A_AAD5_53A1ADAFF5E2_.wvu.Rows" localSheetId="7" hidden="1">'記録#1'!$20:$26</definedName>
    <definedName name="Z_EADB27D0_557C_4F7A_AAD5_53A1ADAFF5E2_.wvu.Rows" localSheetId="8" hidden="1">'記録#TMP'!$20:$26</definedName>
    <definedName name="Z_F0A19407_52E0_4A95_842A_5C1F5F980D30_.wvu.FilterData" localSheetId="2" hidden="1">レビュー管理!#REF!</definedName>
    <definedName name="Z_F0A19407_52E0_4A95_842A_5C1F5F980D30_.wvu.FilterData" localSheetId="7" hidden="1">'記録#1'!$A$49:$AL$53</definedName>
    <definedName name="Z_F0A19407_52E0_4A95_842A_5C1F5F980D30_.wvu.FilterData" localSheetId="8" hidden="1">'記録#TMP'!$A$49:$AL$53</definedName>
    <definedName name="Z_F0A19407_52E0_4A95_842A_5C1F5F980D30_.wvu.Rows" localSheetId="7" hidden="1">'記録#1'!$20:$26</definedName>
    <definedName name="Z_F0A19407_52E0_4A95_842A_5C1F5F980D30_.wvu.Rows" localSheetId="8" hidden="1">'記録#TMP'!$20:$26</definedName>
    <definedName name="Z_FAE5C15D_C24D_4CEF_ABCC_FA08B47BE446_.wvu.FilterData" localSheetId="2" hidden="1">レビュー管理!$A$10:$Z$10</definedName>
    <definedName name="Z_FAE5C15D_C24D_4CEF_ABCC_FA08B47BE446_.wvu.FilterData" localSheetId="7" hidden="1">'記録#1'!$A$49:$AL$53</definedName>
    <definedName name="Z_FAE5C15D_C24D_4CEF_ABCC_FA08B47BE446_.wvu.FilterData" localSheetId="8" hidden="1">'記録#TMP'!$A$49:$AL$53</definedName>
    <definedName name="Z_FAE5C15D_C24D_4CEF_ABCC_FA08B47BE446_.wvu.Rows" localSheetId="7" hidden="1">'記録#1'!$20:$26</definedName>
    <definedName name="Z_FAE5C15D_C24D_4CEF_ABCC_FA08B47BE446_.wvu.Rows" localSheetId="8" hidden="1">'記録#TMP'!$20:$26</definedName>
    <definedName name="プロジェクト番号">表紙!$C$5</definedName>
    <definedName name="プロジェクト名">表紙!$C$6</definedName>
    <definedName name="メンバー" localSheetId="12">[1]選択肢定義!$C$30:$C$35</definedName>
    <definedName name="メンバー" localSheetId="11">[1]選択肢定義!$C$30:$C$35</definedName>
    <definedName name="メンバー" localSheetId="5">[2]選択肢定義!$C$28:$C$33</definedName>
    <definedName name="メンバー">選択肢定義!$C$30:$C$35</definedName>
    <definedName name="宛先" localSheetId="4">レビュー案内!$C$17</definedName>
    <definedName name="宛先">承認依頼!$C$9</definedName>
    <definedName name="外部テスト実施">選択肢定義!$N$9:$N$12</definedName>
    <definedName name="外部テスト設計">選択肢定義!$M$9:$M$17</definedName>
    <definedName name="管理_シート">レビュー管理!$D$10</definedName>
    <definedName name="管理_ステータス">レビュー管理!$B$10</definedName>
    <definedName name="管理_計画レビュー時間">レビュー管理!$P$10</definedName>
    <definedName name="管理_計画工数">レビュー管理!$L$10</definedName>
    <definedName name="管理_計画成果量">レビュー管理!$N$10</definedName>
    <definedName name="管理_計画日">レビュー管理!$J$10</definedName>
    <definedName name="管理_工程">レビュー管理!$G$10</definedName>
    <definedName name="管理_実績工数">レビュー管理!$M$10</definedName>
    <definedName name="管理_実績成果">レビュー管理!$O$10</definedName>
    <definedName name="管理_対象">レビュー管理!$I$10</definedName>
    <definedName name="管理_摘出">レビュー管理!$S$10</definedName>
    <definedName name="管理_内訳レビュー時間">レビュー管理!$Q$10</definedName>
    <definedName name="管理_内訳不具合">レビュー管理!$T$10</definedName>
    <definedName name="管理_名称">レビュー管理!$H$10</definedName>
    <definedName name="基準_レビュー管理">レビュー管理!$C$10</definedName>
    <definedName name="基準_レビュー記録" localSheetId="7">'記録#1'!$A$48</definedName>
    <definedName name="基準_レビュー記録" localSheetId="8">'記録#TMP'!$A$48</definedName>
    <definedName name="基準_混入工程" localSheetId="6">集計結果!$B$3</definedName>
    <definedName name="基本設計">選択肢定義!$F$9:$F$21</definedName>
    <definedName name="機能" localSheetId="12">[1]選択肢定義!$B$30:$B$34</definedName>
    <definedName name="機能" localSheetId="11">[1]選択肢定義!$B$30:$B$34</definedName>
    <definedName name="機能">選択肢定義!$B$30:$B$34</definedName>
    <definedName name="記録_ステータス" localSheetId="7">'記録#1'!$F$2</definedName>
    <definedName name="記録_ステータス" localSheetId="8">'記録#TMP'!$F$2</definedName>
    <definedName name="記録_レビュー時間" localSheetId="7">'記録#1'!$D$21</definedName>
    <definedName name="記録_レビュー時間" localSheetId="8">'記録#TMP'!$D$21</definedName>
    <definedName name="記録_確認担当" localSheetId="7">'記録#1'!$Y$49</definedName>
    <definedName name="記録_確認担当" localSheetId="8">'記録#TMP'!$Y$49</definedName>
    <definedName name="記録_警告" localSheetId="7">'記録#1'!$AF$48</definedName>
    <definedName name="記録_警告" localSheetId="8">'記録#TMP'!$AF$48</definedName>
    <definedName name="記録_工程" localSheetId="7">'記録#1'!$B$4</definedName>
    <definedName name="記録_工程" localSheetId="8">'記録#TMP'!$B$4</definedName>
    <definedName name="記録_作成工数" localSheetId="7">'記録#1'!$D$22</definedName>
    <definedName name="記録_作成工数" localSheetId="8">'記録#TMP'!$D$22</definedName>
    <definedName name="記録_初回レビュー計画" localSheetId="7">'記録#1'!$B$30</definedName>
    <definedName name="記録_初回レビュー計画" localSheetId="8">'記録#TMP'!$B$30</definedName>
    <definedName name="記録_成果量" localSheetId="7">'記録#1'!$D$23</definedName>
    <definedName name="記録_成果量" localSheetId="8">'記録#TMP'!$D$23</definedName>
    <definedName name="記録_対象成果物" localSheetId="7">'記録#1'!$B$11</definedName>
    <definedName name="記録_対象成果物" localSheetId="8">'記録#TMP'!$B$11</definedName>
    <definedName name="記録_不具合件数" localSheetId="7">'記録#1'!$D$24</definedName>
    <definedName name="記録_不具合件数" localSheetId="8">'記録#TMP'!$D$24</definedName>
    <definedName name="業務分野">選択肢定義!$B$9:$B$10</definedName>
    <definedName name="警告">レビュー管理!$D$3</definedName>
    <definedName name="結合テスト実施">選択肢定義!$L$9:$L$13</definedName>
    <definedName name="結合テスト設計">選択肢定義!$K$9:$K$16</definedName>
    <definedName name="件名" localSheetId="4">レビュー案内!$C$16</definedName>
    <definedName name="件名">承認依頼!$C$8</definedName>
    <definedName name="工程定義" localSheetId="12">[1]選択肢定義!$C$9:$C$19</definedName>
    <definedName name="工程定義" localSheetId="11">[1]選択肢定義!$C$9:$C$19</definedName>
    <definedName name="工程定義">選択肢定義!$C$9:$C$19</definedName>
    <definedName name="指摘種別">選択肢定義!$D$30:$D$39</definedName>
    <definedName name="詳細設計">選択肢定義!$G$9:$G$15</definedName>
    <definedName name="成果単位">選択肢定義!$E$30:$E$32</definedName>
    <definedName name="製作">選択肢定義!$H$9:$H$19</definedName>
    <definedName name="単体テスト実施">選択肢定義!$J$9:$J$12</definedName>
    <definedName name="単体テスト設計">選択肢定義!$I$9:$I$16</definedName>
    <definedName name="特性観点">選択肢定義!$G$30:$G$40</definedName>
    <definedName name="品質特性">選択肢定義!$F$30:$F$40</definedName>
    <definedName name="不具合_種別" localSheetId="7">'記録#1'!$H$49</definedName>
    <definedName name="不具合_種別" localSheetId="8">'記録#TMP'!$H$49</definedName>
    <definedName name="本文" localSheetId="4">レビュー案内!$C$19</definedName>
    <definedName name="本文">承認依頼!$C$11</definedName>
    <definedName name="要求定義">選択肢定義!$D$9:$D$18</definedName>
    <definedName name="要求分析">選択肢定義!$E$9:$E$26</definedName>
  </definedNames>
  <calcPr calcId="162913" calcOnSave="0"/>
  <customWorkbookViews>
    <customWorkbookView name="Hiroshi Adachi - 個人用ビュー" guid="{208C4BE9-EB13-412E-87DB-6F6EF676AC78}" mergeInterval="0" personalView="1" maximized="1" windowWidth="1276" windowHeight="822" tabRatio="810" activeSheetId="7"/>
    <customWorkbookView name="matsui_1.0.2.003 - 個人用ビュー" guid="{C9D3707F-798B-426C-ADC6-D6DA36DBAE0D}" mergeInterval="0" personalView="1" maximized="1" windowWidth="1276" windowHeight="819" tabRatio="810" activeSheetId="18"/>
    <customWorkbookView name="神髙謙 - 個人用ビュー" guid="{F350A607-7567-472C-83DF-0C5EF1701BCB}" mergeInterval="0" personalView="1" maximized="1" windowWidth="1276" windowHeight="800" tabRatio="810" activeSheetId="18"/>
    <customWorkbookView name="matsui_1.0.0.006 - 個人用ビュー" guid="{9A298510-BEA3-4CBD-B3A4-C8015D814BFE}" mergeInterval="0" personalView="1" maximized="1" windowWidth="1276" windowHeight="766" tabRatio="810" activeSheetId="18"/>
    <customWorkbookView name="mikami(1.01) - 個人用ビュー" guid="{0B0C28B3-CAE7-466F-B847-0E084213D52D}" mergeInterval="0" personalView="1" maximized="1" windowWidth="1276" windowHeight="860" tabRatio="810" activeSheetId="21" showComments="commIndAndComment"/>
    <customWorkbookView name="matsui_1.0.2.001 - 個人用ビュー" guid="{B00E6704-ADFE-4AE4-BE35-1CFBFA5415F2}" mergeInterval="0" personalView="1" maximized="1" windowWidth="1276" windowHeight="766" tabRatio="810" activeSheetId="17"/>
    <customWorkbookView name="matsui_1.0.3.002 - 個人用ビュー" guid="{EADB27D0-557C-4F7A-AAD5-53A1ADAFF5E2}" mergeInterval="0" personalView="1" maximized="1" windowWidth="1276" windowHeight="766" tabRatio="810" activeSheetId="17"/>
    <customWorkbookView name="matsui_1.0.0.003 - 個人用ビュー" guid="{304AF253-2D3E-4834-B2BE-2B013C01C317}" mergeInterval="0" personalView="1" maximized="1" windowWidth="1276" windowHeight="766" tabRatio="810" activeSheetId="16"/>
    <customWorkbookView name="matsui_1.0.1.001 - 個人用ビュー" guid="{2DFF15CA-CB1B-47C9-95D8-3F2C08492AA3}" mergeInterval="0" personalView="1" maximized="1" windowWidth="1276" windowHeight="766" tabRatio="810" activeSheetId="16"/>
    <customWorkbookView name="matsui_1.0.0.009 - 個人用ビュー" guid="{15443C2D-82C1-4588-8195-8BD954D3C498}" mergeInterval="0" personalView="1" maximized="1" windowWidth="1276" windowHeight="766" tabRatio="810" activeSheetId="16"/>
    <customWorkbookView name="nagae - 個人用ビュー" guid="{9380E699-E27C-4311-8B8B-52DCF8894965}" mergeInterval="0" personalView="1" maximized="1" windowWidth="1276" windowHeight="793" tabRatio="908" activeSheetId="8"/>
    <customWorkbookView name="kobayashi_y - 個人用ビュー" guid="{01D327F4-417E-44F7-B6A4-710876626408}" mergeInterval="0" personalView="1" maximized="1" windowWidth="1276" windowHeight="852" tabRatio="908" activeSheetId="9"/>
    <customWorkbookView name="IMAJI - 個人用ビュー" guid="{5422F15B-159A-41D9-916F-36400AB3DE42}" mergeInterval="0" personalView="1" maximized="1" windowWidth="1276" windowHeight="822" tabRatio="908" activeSheetId="4"/>
    <customWorkbookView name="matsui_1.0.1.002 - 個人用ビュー" guid="{421CB3D9-2E9C-4AEA-B7B0-464183A0C67A}" mergeInterval="0" personalView="1" maximized="1" windowWidth="1276" windowHeight="766" tabRatio="810" activeSheetId="16"/>
    <customWorkbookView name="okuno - 個人用ビュー" guid="{767C11D7-A267-4096-876E-1FBA40EE3D8B}" mergeInterval="0" personalView="1" maximized="1" windowWidth="1276" windowHeight="800" tabRatio="810" activeSheetId="6"/>
    <customWorkbookView name="matsui_1.0.0.002 - 個人用ビュー" guid="{1A53274C-F912-48F6-993C-CE18D78A77D0}" mergeInterval="0" personalView="1" maximized="1" windowWidth="1276" windowHeight="766" tabRatio="810" activeSheetId="17"/>
    <customWorkbookView name="matsui_1.0.0.004 - 個人用ビュー" guid="{E7DAB086-C13D-4DC1-A526-2BC54D284F02}" mergeInterval="0" personalView="1" maximized="1" windowWidth="1276" windowHeight="766" tabRatio="810" activeSheetId="16"/>
    <customWorkbookView name="matsui_1.0.0.005 - 個人用ビュー" guid="{1709BFE4-3254-45B4-AFD2-AF4591A7B2EA}" mergeInterval="0" personalView="1" maximized="1" windowWidth="1276" windowHeight="766" tabRatio="810" activeSheetId="16"/>
    <customWorkbookView name="matsui_1.0.2.002 - 個人用ビュー" guid="{FAE5C15D-C24D-4CEF-ABCC-FA08B47BE446}" mergeInterval="0" personalView="1" maximized="1" windowWidth="1276" windowHeight="766" tabRatio="810" activeSheetId="17"/>
    <customWorkbookView name="hiroshi - 個人用ビュー" guid="{EAA90FA2-4FFA-41CF-9E77-6C997802DE9C}" mergeInterval="0" personalView="1" maximized="1" windowWidth="1276" windowHeight="796" tabRatio="810" activeSheetId="9"/>
    <customWorkbookView name="matsui - 個人用ビュー" guid="{0A72D81E-05E6-4579-813E-A576F86B9BF5}" mergeInterval="0" personalView="1" maximized="1" windowWidth="1267" windowHeight="811" tabRatio="810" activeSheetId="18"/>
    <customWorkbookView name="tanaka_d - 個人用ビュー" guid="{50634D19-0161-4F5A-B253-23B6BCEA81D9}" mergeInterval="0" personalView="1" maximized="1" windowWidth="1276" windowHeight="792" tabRatio="810" activeSheetId="18"/>
    <customWorkbookView name="mikami - 個人用ビュー" guid="{F0A19407-52E0-4A95-842A-5C1F5F980D30}" mergeInterval="0" personalView="1" maximized="1" windowWidth="1276" windowHeight="860" tabRatio="810" activeSheetId="18"/>
    <customWorkbookView name="tanaka_at - 個人用ビュー" guid="{C38B0056-DCFC-4A2A-9719-931C5C91C0B3}" mergeInterval="0" personalView="1" maximized="1" windowWidth="1276" windowHeight="770" tabRatio="810" activeSheetId="7"/>
    <customWorkbookView name="tanaka_d  - 個人用ビュー" guid="{E4F2B051-A5A3-433E-BCB0-1B4BD7617880}" mergeInterval="0" personalView="1" maximized="1" windowWidth="1166" windowHeight="804" tabRatio="810" activeSheetId="10"/>
    <customWorkbookView name="USER - 個人用ビュー" guid="{D7AEA922-4F68-4E62-BF47-C14EFC12E7DC}" mergeInterval="0" personalView="1" maximized="1" windowWidth="1396" windowHeight="878" tabRatio="810" activeSheetId="6"/>
  </customWorkbookViews>
</workbook>
</file>

<file path=xl/calcChain.xml><?xml version="1.0" encoding="utf-8"?>
<calcChain xmlns="http://schemas.openxmlformats.org/spreadsheetml/2006/main">
  <c r="BL13" i="146" l="1"/>
  <c r="BM13" i="146" s="1"/>
  <c r="BK13" i="146"/>
  <c r="BL12" i="146"/>
  <c r="BM12" i="146" s="1"/>
  <c r="BK12" i="146"/>
  <c r="BL11" i="146"/>
  <c r="BM11" i="146" s="1"/>
  <c r="BK11" i="146"/>
  <c r="BL10" i="146"/>
  <c r="BM10" i="146" s="1"/>
  <c r="BK10" i="146"/>
  <c r="BL9" i="146"/>
  <c r="BM9" i="146" s="1"/>
  <c r="BK9" i="146"/>
  <c r="BL8" i="146"/>
  <c r="BM8" i="146" s="1"/>
  <c r="BK8" i="146"/>
  <c r="BM7" i="146"/>
  <c r="BL7" i="146"/>
  <c r="BK7" i="146"/>
  <c r="BL6" i="146"/>
  <c r="BK6" i="146"/>
  <c r="BM6" i="146" s="1"/>
  <c r="BL5" i="146"/>
  <c r="BM5" i="146" s="1"/>
  <c r="BK5" i="146"/>
  <c r="BL4" i="146"/>
  <c r="BM4" i="146" s="1"/>
  <c r="BK4" i="146"/>
  <c r="BL3" i="146"/>
  <c r="BM3" i="146" s="1"/>
  <c r="BK3" i="146"/>
  <c r="BL2" i="146"/>
  <c r="BM2" i="146" s="1"/>
  <c r="BK2" i="146"/>
  <c r="BF13" i="146"/>
  <c r="BG13" i="146" s="1"/>
  <c r="BE13" i="146"/>
  <c r="BF12" i="146"/>
  <c r="BG12" i="146" s="1"/>
  <c r="BE12" i="146"/>
  <c r="BF11" i="146"/>
  <c r="BG11" i="146" s="1"/>
  <c r="BE11" i="146"/>
  <c r="BF10" i="146"/>
  <c r="BG10" i="146" s="1"/>
  <c r="BE10" i="146"/>
  <c r="BF9" i="146"/>
  <c r="BG9" i="146" s="1"/>
  <c r="BE9" i="146"/>
  <c r="BF8" i="146"/>
  <c r="BE8" i="146"/>
  <c r="BG8" i="146" s="1"/>
  <c r="BG7" i="146"/>
  <c r="BF7" i="146"/>
  <c r="BE7" i="146"/>
  <c r="BF6" i="146"/>
  <c r="BG6" i="146" s="1"/>
  <c r="BE6" i="146"/>
  <c r="BF5" i="146"/>
  <c r="BG5" i="146" s="1"/>
  <c r="BE5" i="146"/>
  <c r="BF4" i="146"/>
  <c r="BG4" i="146" s="1"/>
  <c r="BE4" i="146"/>
  <c r="BF3" i="146"/>
  <c r="BG3" i="146" s="1"/>
  <c r="BE3" i="146"/>
  <c r="BF2" i="146"/>
  <c r="BG2" i="146" s="1"/>
  <c r="BE2" i="146"/>
  <c r="AZ13" i="146"/>
  <c r="BA13" i="146" s="1"/>
  <c r="AY13" i="146"/>
  <c r="AZ12" i="146"/>
  <c r="BA12" i="146" s="1"/>
  <c r="AY12" i="146"/>
  <c r="AZ11" i="146"/>
  <c r="BA11" i="146" s="1"/>
  <c r="AY11" i="146"/>
  <c r="AZ10" i="146"/>
  <c r="BA10" i="146" s="1"/>
  <c r="AY10" i="146"/>
  <c r="AZ9" i="146"/>
  <c r="BA9" i="146" s="1"/>
  <c r="AY9" i="146"/>
  <c r="BA8" i="146"/>
  <c r="AZ8" i="146"/>
  <c r="AY8" i="146"/>
  <c r="BA7" i="146"/>
  <c r="AZ7" i="146"/>
  <c r="AY7" i="146"/>
  <c r="AZ6" i="146"/>
  <c r="BA6" i="146" s="1"/>
  <c r="AY6" i="146"/>
  <c r="AZ5" i="146"/>
  <c r="BA5" i="146" s="1"/>
  <c r="AY5" i="146"/>
  <c r="AZ4" i="146"/>
  <c r="BA4" i="146" s="1"/>
  <c r="AY4" i="146"/>
  <c r="AZ3" i="146"/>
  <c r="BA3" i="146" s="1"/>
  <c r="AY3" i="146"/>
  <c r="AZ2" i="146"/>
  <c r="BA2" i="146" s="1"/>
  <c r="AY2" i="146"/>
  <c r="K2" i="146" l="1"/>
  <c r="K3" i="146"/>
  <c r="K4" i="146"/>
  <c r="E2" i="146"/>
  <c r="E3" i="146"/>
  <c r="E4" i="146"/>
  <c r="E5" i="146"/>
  <c r="AT13" i="146" l="1"/>
  <c r="AS13" i="146"/>
  <c r="AU13" i="146" s="1"/>
  <c r="AN13" i="146"/>
  <c r="AM13" i="146"/>
  <c r="AH13" i="146"/>
  <c r="AG13" i="146"/>
  <c r="AB13" i="146"/>
  <c r="AA13" i="146"/>
  <c r="V13" i="146"/>
  <c r="U13" i="146"/>
  <c r="W13" i="146" s="1"/>
  <c r="P13" i="146"/>
  <c r="O13" i="146"/>
  <c r="J13" i="146"/>
  <c r="I13" i="146"/>
  <c r="D13" i="146"/>
  <c r="C13" i="146"/>
  <c r="AT12" i="146"/>
  <c r="AS12" i="146"/>
  <c r="AN12" i="146"/>
  <c r="AM12" i="146"/>
  <c r="AO12" i="146" s="1"/>
  <c r="AH12" i="146"/>
  <c r="AG12" i="146"/>
  <c r="AB12" i="146"/>
  <c r="AA12" i="146"/>
  <c r="V12" i="146"/>
  <c r="U12" i="146"/>
  <c r="P12" i="146"/>
  <c r="O12" i="146"/>
  <c r="Q12" i="146" s="1"/>
  <c r="J12" i="146"/>
  <c r="I12" i="146"/>
  <c r="D12" i="146"/>
  <c r="C12" i="146"/>
  <c r="AT11" i="146"/>
  <c r="AS11" i="146"/>
  <c r="AN11" i="146"/>
  <c r="AM11" i="146"/>
  <c r="AH11" i="146"/>
  <c r="AG11" i="146"/>
  <c r="AB11" i="146"/>
  <c r="AA11" i="146"/>
  <c r="V11" i="146"/>
  <c r="U11" i="146"/>
  <c r="P11" i="146"/>
  <c r="O11" i="146"/>
  <c r="J11" i="146"/>
  <c r="I11" i="146"/>
  <c r="K11" i="146" s="1"/>
  <c r="D11" i="146"/>
  <c r="C11" i="146"/>
  <c r="AT10" i="146"/>
  <c r="AS10" i="146"/>
  <c r="AN10" i="146"/>
  <c r="AM10" i="146"/>
  <c r="AH10" i="146"/>
  <c r="AG10" i="146"/>
  <c r="AB10" i="146"/>
  <c r="AA10" i="146"/>
  <c r="AC10" i="146" s="1"/>
  <c r="V10" i="146"/>
  <c r="U10" i="146"/>
  <c r="P10" i="146"/>
  <c r="O10" i="146"/>
  <c r="J10" i="146"/>
  <c r="I10" i="146"/>
  <c r="D10" i="146"/>
  <c r="C10" i="146"/>
  <c r="AT9" i="146"/>
  <c r="AS9" i="146"/>
  <c r="AU9" i="146" s="1"/>
  <c r="AN9" i="146"/>
  <c r="AM9" i="146"/>
  <c r="AH9" i="146"/>
  <c r="AG9" i="146"/>
  <c r="AB9" i="146"/>
  <c r="AA9" i="146"/>
  <c r="V9" i="146"/>
  <c r="U9" i="146"/>
  <c r="W9" i="146" s="1"/>
  <c r="P9" i="146"/>
  <c r="O9" i="146"/>
  <c r="J9" i="146"/>
  <c r="I9" i="146"/>
  <c r="D9" i="146"/>
  <c r="C9" i="146"/>
  <c r="AT8" i="146"/>
  <c r="AS8" i="146"/>
  <c r="AN8" i="146"/>
  <c r="AM8" i="146"/>
  <c r="AO8" i="146" s="1"/>
  <c r="AH8" i="146"/>
  <c r="AG8" i="146"/>
  <c r="AB8" i="146"/>
  <c r="AA8" i="146"/>
  <c r="V8" i="146"/>
  <c r="U8" i="146"/>
  <c r="P8" i="146"/>
  <c r="O8" i="146"/>
  <c r="Q8" i="146" s="1"/>
  <c r="J8" i="146"/>
  <c r="I8" i="146"/>
  <c r="D8" i="146"/>
  <c r="C8" i="146"/>
  <c r="AT7" i="146"/>
  <c r="AS7" i="146"/>
  <c r="AN7" i="146"/>
  <c r="AM7" i="146"/>
  <c r="AH7" i="146"/>
  <c r="AG7" i="146"/>
  <c r="AI7" i="146" s="1"/>
  <c r="AB7" i="146"/>
  <c r="AA7" i="146"/>
  <c r="V7" i="146"/>
  <c r="U7" i="146"/>
  <c r="P7" i="146"/>
  <c r="O7" i="146"/>
  <c r="J7" i="146"/>
  <c r="I7" i="146"/>
  <c r="K7" i="146" s="1"/>
  <c r="D7" i="146"/>
  <c r="C7" i="146"/>
  <c r="AT6" i="146"/>
  <c r="AS6" i="146"/>
  <c r="AN6" i="146"/>
  <c r="AM6" i="146"/>
  <c r="AH6" i="146"/>
  <c r="AG6" i="146"/>
  <c r="AB6" i="146"/>
  <c r="AA6" i="146"/>
  <c r="AC6" i="146" s="1"/>
  <c r="V6" i="146"/>
  <c r="U6" i="146"/>
  <c r="P6" i="146"/>
  <c r="O6" i="146"/>
  <c r="J6" i="146"/>
  <c r="I6" i="146"/>
  <c r="D6" i="146"/>
  <c r="C6" i="146"/>
  <c r="AT5" i="146"/>
  <c r="AS5" i="146"/>
  <c r="AU5" i="146" s="1"/>
  <c r="AN5" i="146"/>
  <c r="AM5" i="146"/>
  <c r="AH5" i="146"/>
  <c r="AG5" i="146"/>
  <c r="AB5" i="146"/>
  <c r="AA5" i="146"/>
  <c r="V5" i="146"/>
  <c r="U5" i="146"/>
  <c r="W5" i="146" s="1"/>
  <c r="P5" i="146"/>
  <c r="O5" i="146"/>
  <c r="J5" i="146"/>
  <c r="I5" i="146"/>
  <c r="D5" i="146"/>
  <c r="C5" i="146"/>
  <c r="AT4" i="146"/>
  <c r="AS4" i="146"/>
  <c r="AN4" i="146"/>
  <c r="AM4" i="146"/>
  <c r="AO4" i="146" s="1"/>
  <c r="AH4" i="146"/>
  <c r="AG4" i="146"/>
  <c r="AB4" i="146"/>
  <c r="AA4" i="146"/>
  <c r="V4" i="146"/>
  <c r="U4" i="146"/>
  <c r="P4" i="146"/>
  <c r="O4" i="146"/>
  <c r="Q4" i="146" s="1"/>
  <c r="J4" i="146"/>
  <c r="I4" i="146"/>
  <c r="D4" i="146"/>
  <c r="C4" i="146"/>
  <c r="AT3" i="146"/>
  <c r="AS3" i="146"/>
  <c r="AN3" i="146"/>
  <c r="AM3" i="146"/>
  <c r="AH3" i="146"/>
  <c r="AG3" i="146"/>
  <c r="AI3" i="146" s="1"/>
  <c r="AB3" i="146"/>
  <c r="AA3" i="146"/>
  <c r="V3" i="146"/>
  <c r="W3" i="146" s="1"/>
  <c r="U3" i="146"/>
  <c r="P3" i="146"/>
  <c r="O3" i="146"/>
  <c r="J3" i="146"/>
  <c r="I3" i="146"/>
  <c r="D3" i="146"/>
  <c r="C3" i="146"/>
  <c r="AT2" i="146"/>
  <c r="AS2" i="146"/>
  <c r="AN2" i="146"/>
  <c r="AO2" i="146" s="1"/>
  <c r="AM2" i="146"/>
  <c r="AH2" i="146"/>
  <c r="AG2" i="146"/>
  <c r="AB2" i="146"/>
  <c r="AC2" i="146" s="1"/>
  <c r="AA2" i="146"/>
  <c r="V2" i="146"/>
  <c r="W2" i="146" s="1"/>
  <c r="U2" i="146"/>
  <c r="P2" i="146"/>
  <c r="Q2" i="146" s="1"/>
  <c r="O2" i="146"/>
  <c r="J2" i="146"/>
  <c r="I2" i="146"/>
  <c r="D2" i="146"/>
  <c r="C2" i="146"/>
  <c r="AO13" i="146"/>
  <c r="AI13" i="146"/>
  <c r="AC13" i="146"/>
  <c r="Q13" i="146"/>
  <c r="K13" i="146"/>
  <c r="E13" i="146"/>
  <c r="AU12" i="146"/>
  <c r="AI12" i="146"/>
  <c r="AC12" i="146"/>
  <c r="W12" i="146"/>
  <c r="K12" i="146"/>
  <c r="E12" i="146"/>
  <c r="AU11" i="146"/>
  <c r="AO11" i="146"/>
  <c r="AI11" i="146"/>
  <c r="AC11" i="146"/>
  <c r="W11" i="146"/>
  <c r="Q11" i="146"/>
  <c r="E11" i="146"/>
  <c r="AU10" i="146"/>
  <c r="AO10" i="146"/>
  <c r="AI10" i="146"/>
  <c r="W10" i="146"/>
  <c r="Q10" i="146"/>
  <c r="K10" i="146"/>
  <c r="E10" i="146"/>
  <c r="AO9" i="146"/>
  <c r="AI9" i="146"/>
  <c r="AC9" i="146"/>
  <c r="Q9" i="146"/>
  <c r="K9" i="146"/>
  <c r="E9" i="146"/>
  <c r="AU8" i="146"/>
  <c r="AI8" i="146"/>
  <c r="AC8" i="146"/>
  <c r="W8" i="146"/>
  <c r="K8" i="146"/>
  <c r="E8" i="146"/>
  <c r="AU7" i="146"/>
  <c r="AO7" i="146"/>
  <c r="AC7" i="146"/>
  <c r="W7" i="146"/>
  <c r="Q7" i="146"/>
  <c r="E7" i="146"/>
  <c r="AU6" i="146"/>
  <c r="AO6" i="146"/>
  <c r="AI6" i="146"/>
  <c r="W6" i="146"/>
  <c r="Q6" i="146"/>
  <c r="K6" i="146"/>
  <c r="E6" i="146"/>
  <c r="AO5" i="146"/>
  <c r="AI5" i="146"/>
  <c r="AC5" i="146"/>
  <c r="Q5" i="146"/>
  <c r="K5" i="146"/>
  <c r="AU4" i="146"/>
  <c r="AI4" i="146"/>
  <c r="AC4" i="146"/>
  <c r="W4" i="146"/>
  <c r="AU3" i="146"/>
  <c r="AO3" i="146"/>
  <c r="AC3" i="146"/>
  <c r="Q3" i="146"/>
  <c r="AU2" i="146"/>
  <c r="AI2" i="146"/>
  <c r="V4" i="128"/>
  <c r="AI11" i="7" s="1"/>
  <c r="V4" i="145"/>
  <c r="P4" i="128" l="1"/>
  <c r="P4" i="145"/>
  <c r="C16" i="142" l="1"/>
  <c r="C19" i="142" l="1"/>
  <c r="D9" i="142" l="1"/>
  <c r="AF55" i="145" l="1"/>
  <c r="Y55" i="145"/>
  <c r="AF54" i="145"/>
  <c r="Y54" i="145"/>
  <c r="AF53" i="145"/>
  <c r="Y53" i="145"/>
  <c r="AF52" i="145"/>
  <c r="Y52" i="145"/>
  <c r="AF51" i="145"/>
  <c r="Y51" i="145"/>
  <c r="A51" i="145"/>
  <c r="A52" i="145" s="1"/>
  <c r="A53" i="145" s="1"/>
  <c r="A54" i="145" s="1"/>
  <c r="AF50" i="145"/>
  <c r="Y50" i="145"/>
  <c r="K46" i="145"/>
  <c r="K45" i="145"/>
  <c r="K44" i="145"/>
  <c r="K43" i="145"/>
  <c r="K42" i="145"/>
  <c r="T34" i="145"/>
  <c r="S34" i="145"/>
  <c r="T33" i="145"/>
  <c r="S33" i="145"/>
  <c r="T32" i="145"/>
  <c r="S32" i="145"/>
  <c r="T31" i="145"/>
  <c r="S31" i="145"/>
  <c r="T30" i="145"/>
  <c r="S30" i="145"/>
  <c r="B30" i="145"/>
  <c r="F24" i="145"/>
  <c r="F23" i="145"/>
  <c r="E23" i="145"/>
  <c r="F22" i="145"/>
  <c r="F21" i="145"/>
  <c r="B11" i="145"/>
  <c r="R7" i="145"/>
  <c r="L7" i="145"/>
  <c r="S6" i="145"/>
  <c r="R6" i="145"/>
  <c r="P6" i="145"/>
  <c r="L6" i="145"/>
  <c r="J6" i="145"/>
  <c r="H6" i="145"/>
  <c r="S5" i="145"/>
  <c r="R5" i="145"/>
  <c r="P5" i="145"/>
  <c r="N5" i="145"/>
  <c r="J5" i="145"/>
  <c r="H5" i="145"/>
  <c r="S4" i="145"/>
  <c r="R4" i="145"/>
  <c r="N4" i="145"/>
  <c r="L4" i="145"/>
  <c r="J4" i="145"/>
  <c r="F5" i="145" s="1"/>
  <c r="H4" i="145"/>
  <c r="F4" i="145"/>
  <c r="B4" i="145"/>
  <c r="P3" i="145"/>
  <c r="N3" i="145"/>
  <c r="L3" i="145"/>
  <c r="J7" i="145" s="1"/>
  <c r="J3" i="145"/>
  <c r="H3" i="145"/>
  <c r="E24" i="145" s="1"/>
  <c r="S7" i="145" s="1"/>
  <c r="F3" i="145" l="1"/>
  <c r="F2" i="145" s="1"/>
  <c r="F6" i="145"/>
  <c r="J3" i="128"/>
  <c r="J4" i="128"/>
  <c r="P3" i="128"/>
  <c r="C18" i="143" l="1"/>
  <c r="C11" i="143" s="1"/>
  <c r="C17" i="143"/>
  <c r="C16" i="143"/>
  <c r="C8" i="143" l="1"/>
  <c r="T34" i="128"/>
  <c r="T33" i="128"/>
  <c r="T32" i="128"/>
  <c r="T31" i="128"/>
  <c r="S34" i="128" l="1"/>
  <c r="S33" i="128"/>
  <c r="S32" i="128"/>
  <c r="S31" i="128"/>
  <c r="N5" i="128"/>
  <c r="Y54" i="128" l="1"/>
  <c r="Y53" i="128"/>
  <c r="Y52" i="128"/>
  <c r="Y51" i="128"/>
  <c r="Y50" i="128"/>
  <c r="S5" i="128" l="1"/>
  <c r="M11" i="7" s="1"/>
  <c r="S4" i="128"/>
  <c r="Q11" i="7" s="1"/>
  <c r="R7" i="128"/>
  <c r="S11" i="7" s="1"/>
  <c r="R6" i="128"/>
  <c r="N11" i="7" s="1"/>
  <c r="R5" i="128"/>
  <c r="L11" i="7" s="1"/>
  <c r="R4" i="128"/>
  <c r="P11" i="7" s="1"/>
  <c r="B30" i="128" l="1"/>
  <c r="T30" i="128" l="1"/>
  <c r="S30" i="128"/>
  <c r="N4" i="128"/>
  <c r="AF55" i="128"/>
  <c r="AF54" i="128"/>
  <c r="AF53" i="128"/>
  <c r="AF52" i="128"/>
  <c r="AF51" i="128"/>
  <c r="AF50" i="128"/>
  <c r="B11" i="128"/>
  <c r="F4" i="128" l="1"/>
  <c r="N3" i="128" l="1"/>
  <c r="F3" i="128"/>
  <c r="F2" i="128" s="1"/>
  <c r="P6" i="128" l="1"/>
  <c r="AG11" i="7" s="1"/>
  <c r="P5" i="128"/>
  <c r="AF11" i="7" s="1"/>
  <c r="AC11" i="7"/>
  <c r="AE11" i="7"/>
  <c r="AD11" i="7"/>
  <c r="E6" i="5" l="1"/>
  <c r="D5" i="127" l="1"/>
  <c r="C5" i="127"/>
  <c r="G14" i="127" l="1"/>
  <c r="F14" i="127"/>
  <c r="G13" i="127"/>
  <c r="F13" i="127"/>
  <c r="G12" i="127"/>
  <c r="F12" i="127"/>
  <c r="G11" i="127"/>
  <c r="F11" i="127"/>
  <c r="G10" i="127"/>
  <c r="F10" i="127"/>
  <c r="G9" i="127"/>
  <c r="F9" i="127"/>
  <c r="G8" i="127"/>
  <c r="G7" i="127"/>
  <c r="F7" i="127"/>
  <c r="G6" i="127"/>
  <c r="F6" i="127"/>
  <c r="G4" i="127"/>
  <c r="F4" i="127"/>
  <c r="H5" i="128" l="1"/>
  <c r="Z11" i="7" s="1"/>
  <c r="H4" i="128"/>
  <c r="G5" i="127" l="1"/>
  <c r="G15" i="127" s="1"/>
  <c r="L4" i="128"/>
  <c r="K46" i="128" l="1"/>
  <c r="K45" i="128"/>
  <c r="K44" i="128"/>
  <c r="K43" i="128"/>
  <c r="K42" i="128"/>
  <c r="M6" i="5" l="1"/>
  <c r="Y55" i="128"/>
  <c r="J6" i="128"/>
  <c r="X11" i="7" s="1"/>
  <c r="J5" i="128"/>
  <c r="W11" i="7" s="1"/>
  <c r="U11" i="7"/>
  <c r="F8" i="127" s="1"/>
  <c r="H3" i="128"/>
  <c r="T11" i="7" s="1"/>
  <c r="D14" i="127"/>
  <c r="E23" i="128"/>
  <c r="B4" i="128"/>
  <c r="H6" i="128"/>
  <c r="L7" i="128"/>
  <c r="F21" i="128"/>
  <c r="F22" i="128"/>
  <c r="A51" i="128"/>
  <c r="A52" i="128" s="1"/>
  <c r="A53" i="128" s="1"/>
  <c r="A54" i="128" s="1"/>
  <c r="C12" i="7"/>
  <c r="E13" i="127"/>
  <c r="E12" i="127"/>
  <c r="E11" i="127"/>
  <c r="E10" i="127"/>
  <c r="E9" i="127"/>
  <c r="E8" i="127"/>
  <c r="E7" i="127"/>
  <c r="E6" i="127"/>
  <c r="E4" i="127"/>
  <c r="D13" i="127"/>
  <c r="D12" i="127"/>
  <c r="D11" i="127"/>
  <c r="D10" i="127"/>
  <c r="D9" i="127"/>
  <c r="D8" i="127"/>
  <c r="D7" i="127"/>
  <c r="D6" i="127"/>
  <c r="D4" i="127"/>
  <c r="C14" i="127"/>
  <c r="C13" i="127"/>
  <c r="C12" i="127"/>
  <c r="C11" i="127"/>
  <c r="C10" i="127"/>
  <c r="C9" i="127"/>
  <c r="C8" i="127"/>
  <c r="C7" i="127"/>
  <c r="C6" i="127"/>
  <c r="C4" i="127"/>
  <c r="D6" i="5"/>
  <c r="F6" i="5"/>
  <c r="G6" i="5"/>
  <c r="H6" i="5"/>
  <c r="I6" i="5"/>
  <c r="J6" i="5"/>
  <c r="K6" i="5"/>
  <c r="L6" i="5"/>
  <c r="N6" i="5"/>
  <c r="O6" i="5"/>
  <c r="P6" i="5"/>
  <c r="Q6" i="5"/>
  <c r="R6" i="5"/>
  <c r="S6" i="5"/>
  <c r="T6" i="5"/>
  <c r="U6" i="5"/>
  <c r="V6" i="5"/>
  <c r="W6" i="5"/>
  <c r="D11" i="7"/>
  <c r="E14" i="127" l="1"/>
  <c r="E5" i="127"/>
  <c r="F5" i="127"/>
  <c r="F15" i="127" s="1"/>
  <c r="L6" i="128"/>
  <c r="S6" i="128"/>
  <c r="O11" i="7" s="1"/>
  <c r="V11" i="7"/>
  <c r="F5" i="128"/>
  <c r="F23" i="128"/>
  <c r="D15" i="127"/>
  <c r="AA11" i="7"/>
  <c r="AB11" i="7"/>
  <c r="L3" i="128"/>
  <c r="J7" i="128" s="1"/>
  <c r="C15" i="127"/>
  <c r="E24" i="128"/>
  <c r="D12" i="7"/>
  <c r="B12" i="7"/>
  <c r="AI12" i="7" l="1"/>
  <c r="F6" i="128"/>
  <c r="E15" i="127"/>
  <c r="S12" i="7"/>
  <c r="Q12" i="7"/>
  <c r="P12" i="7"/>
  <c r="O12" i="7"/>
  <c r="N12" i="7"/>
  <c r="M12" i="7"/>
  <c r="L12" i="7"/>
  <c r="F24" i="128"/>
  <c r="S7" i="128"/>
  <c r="Y11" i="7"/>
  <c r="Y12" i="7"/>
  <c r="Z12" i="7"/>
  <c r="AG12" i="7"/>
  <c r="X12" i="7"/>
  <c r="AC12" i="7"/>
  <c r="AB12" i="7"/>
  <c r="AF12" i="7"/>
  <c r="W12" i="7"/>
  <c r="AE12" i="7"/>
  <c r="AD12" i="7"/>
  <c r="AA12" i="7"/>
  <c r="T12" i="7"/>
  <c r="V12" i="7"/>
  <c r="U12" i="7"/>
  <c r="C3" i="7" l="1"/>
  <c r="C2" i="7"/>
  <c r="C5" i="7"/>
  <c r="C4" i="7"/>
  <c r="C7" i="7"/>
  <c r="C6" i="7"/>
  <c r="B11" i="7" l="1"/>
  <c r="D3" i="7" s="1"/>
</calcChain>
</file>

<file path=xl/comments1.xml><?xml version="1.0" encoding="utf-8"?>
<comments xmlns="http://schemas.openxmlformats.org/spreadsheetml/2006/main">
  <authors>
    <author>takezaki</author>
  </authors>
  <commentList>
    <comment ref="C6" authorId="0" shapeId="0">
      <text>
        <r>
          <rPr>
            <b/>
            <sz val="9"/>
            <color indexed="81"/>
            <rFont val="ＭＳ Ｐゴシック"/>
            <family val="3"/>
            <charset val="128"/>
          </rPr>
          <t>プロジェクト番号を入力して「プロジェクト名を取得」ボタンを押すと自動的にTimeTrackerから取得して入力します</t>
        </r>
      </text>
    </comment>
  </commentList>
</comments>
</file>

<file path=xl/comments2.xml><?xml version="1.0" encoding="utf-8"?>
<comments xmlns="http://schemas.openxmlformats.org/spreadsheetml/2006/main">
  <authors>
    <author>okuno</author>
    <author>Dcinc</author>
  </authors>
  <commentList>
    <comment ref="F10" authorId="0" shapeId="0">
      <text>
        <r>
          <rPr>
            <sz val="9"/>
            <color indexed="81"/>
            <rFont val="ＭＳ Ｐゴシック"/>
            <family val="3"/>
            <charset val="128"/>
          </rPr>
          <t xml:space="preserve">新規要求："－"
変更ＩＤ：
変更管理表での変更点の識別子
</t>
        </r>
      </text>
    </comment>
    <comment ref="I10" authorId="0" shapeId="0">
      <text>
        <r>
          <rPr>
            <sz val="9"/>
            <color indexed="81"/>
            <rFont val="ＭＳ Ｐゴシック"/>
            <family val="3"/>
            <charset val="128"/>
          </rPr>
          <t>○：レビュー対象
－：レビュー免除
×：成果物の作成自体免除
レビュー免除の場合には、その理由をコメント等で記録しておくこと。</t>
        </r>
      </text>
    </comment>
    <comment ref="J10" authorId="1" shapeId="0">
      <text>
        <r>
          <rPr>
            <b/>
            <sz val="9"/>
            <color indexed="81"/>
            <rFont val="ＭＳ Ｐゴシック"/>
            <family val="3"/>
            <charset val="128"/>
          </rPr>
          <t>パスアラウンドの場合、「開始日」と「終了日」を記載する
例）2015/2/2（月）～2015/2/6（金）</t>
        </r>
      </text>
    </comment>
  </commentList>
</comments>
</file>

<file path=xl/comments3.xml><?xml version="1.0" encoding="utf-8"?>
<comments xmlns="http://schemas.openxmlformats.org/spreadsheetml/2006/main">
  <authors>
    <author>saito_ka</author>
  </authors>
  <commentList>
    <comment ref="C13" authorId="0" shapeId="0">
      <text>
        <r>
          <rPr>
            <sz val="9"/>
            <color indexed="81"/>
            <rFont val="ＭＳ Ｐゴシック"/>
            <family val="3"/>
            <charset val="128"/>
          </rPr>
          <t>選択肢を追加したい時は[選択肢定義]シートを更新すること</t>
        </r>
      </text>
    </comment>
    <comment ref="C14" authorId="0" shapeId="0">
      <text>
        <r>
          <rPr>
            <sz val="9"/>
            <color indexed="81"/>
            <rFont val="ＭＳ Ｐゴシック"/>
            <family val="3"/>
            <charset val="128"/>
          </rPr>
          <t>選択肢を追加したい時は[選択肢定義]シートを更新すること</t>
        </r>
      </text>
    </comment>
  </commentList>
</comments>
</file>

<file path=xl/comments4.xml><?xml version="1.0" encoding="utf-8"?>
<comments xmlns="http://schemas.openxmlformats.org/spreadsheetml/2006/main">
  <authors>
    <author>okuno</author>
    <author>Dcinc</author>
    <author>H.Kodera</author>
  </authors>
  <commentList>
    <comment ref="D20" authorId="0" shapeId="0">
      <text>
        <r>
          <rPr>
            <b/>
            <sz val="9"/>
            <color indexed="81"/>
            <rFont val="ＭＳ Ｐゴシック"/>
            <family val="3"/>
            <charset val="128"/>
          </rPr>
          <t>レビュー時間×参加人数</t>
        </r>
      </text>
    </comment>
    <comment ref="E20" authorId="0" shapeId="0">
      <text>
        <r>
          <rPr>
            <b/>
            <sz val="9"/>
            <color indexed="81"/>
            <rFont val="ＭＳ Ｐゴシック"/>
            <family val="3"/>
            <charset val="128"/>
          </rPr>
          <t>レビュー時間×参加人数</t>
        </r>
      </text>
    </comment>
    <comment ref="D28" authorId="1" shapeId="0">
      <text>
        <r>
          <rPr>
            <b/>
            <sz val="9"/>
            <color indexed="81"/>
            <rFont val="ＭＳ Ｐゴシック"/>
            <family val="3"/>
            <charset val="128"/>
          </rPr>
          <t>レビューごとに、対象成果物に対するレビューの対象範囲を定義する。
例）
成果番号①：XXページ～XXページ
成果番号②：XX機能</t>
        </r>
      </text>
    </comment>
    <comment ref="J28" authorId="1" shapeId="0">
      <text>
        <r>
          <rPr>
            <b/>
            <sz val="9"/>
            <color indexed="81"/>
            <rFont val="ＭＳ Ｐゴシック"/>
            <family val="3"/>
            <charset val="128"/>
          </rPr>
          <t>パスアラウンドの場合、「開始日」と「終了日」を記載する
例）2015/2/2（月）～2015/2/6（金）</t>
        </r>
      </text>
    </comment>
    <comment ref="L28" authorId="1" shapeId="0">
      <text>
        <r>
          <rPr>
            <b/>
            <sz val="9"/>
            <color indexed="81"/>
            <rFont val="ＭＳ Ｐゴシック"/>
            <family val="3"/>
            <charset val="128"/>
          </rPr>
          <t>レビューごとに、対象成果物に対するレビューの対象範囲を定義する。
例）
成果番号①：XXページ～XXページ
成果番号②：XX機能</t>
        </r>
      </text>
    </comment>
    <comment ref="J49" authorId="1" shapeId="0">
      <text>
        <r>
          <rPr>
            <b/>
            <sz val="9"/>
            <color indexed="81"/>
            <rFont val="ＭＳ Ｐゴシック"/>
            <family val="3"/>
            <charset val="128"/>
          </rPr>
          <t>はず設計に該当する場合：○
はず設計に該当しない場合：－</t>
        </r>
      </text>
    </comment>
    <comment ref="X49" authorId="2" shapeId="0">
      <text>
        <r>
          <rPr>
            <b/>
            <sz val="9"/>
            <color indexed="81"/>
            <rFont val="ＭＳ Ｐゴシック"/>
            <family val="3"/>
            <charset val="128"/>
          </rPr>
          <t>対策不要に対する承認も本列で表現する。</t>
        </r>
      </text>
    </comment>
  </commentList>
</comments>
</file>

<file path=xl/comments5.xml><?xml version="1.0" encoding="utf-8"?>
<comments xmlns="http://schemas.openxmlformats.org/spreadsheetml/2006/main">
  <authors>
    <author>okuno</author>
    <author>Dcinc</author>
    <author>H.Kodera</author>
  </authors>
  <commentList>
    <comment ref="D20" authorId="0" shapeId="0">
      <text>
        <r>
          <rPr>
            <b/>
            <sz val="9"/>
            <color indexed="81"/>
            <rFont val="ＭＳ Ｐゴシック"/>
            <family val="3"/>
            <charset val="128"/>
          </rPr>
          <t>レビュー時間×参加人数</t>
        </r>
      </text>
    </comment>
    <comment ref="E20" authorId="0" shapeId="0">
      <text>
        <r>
          <rPr>
            <b/>
            <sz val="9"/>
            <color indexed="81"/>
            <rFont val="ＭＳ Ｐゴシック"/>
            <family val="3"/>
            <charset val="128"/>
          </rPr>
          <t>レビュー時間×参加人数</t>
        </r>
      </text>
    </comment>
    <comment ref="D28" authorId="1" shapeId="0">
      <text>
        <r>
          <rPr>
            <b/>
            <sz val="9"/>
            <color indexed="81"/>
            <rFont val="ＭＳ Ｐゴシック"/>
            <family val="3"/>
            <charset val="128"/>
          </rPr>
          <t>レビューごとに、対象成果物に対するレビューの対象範囲を定義する。
例）
成果番号①：XXページ～XXページ
成果番号②：XX機能</t>
        </r>
      </text>
    </comment>
    <comment ref="J28" authorId="1" shapeId="0">
      <text>
        <r>
          <rPr>
            <b/>
            <sz val="9"/>
            <color indexed="81"/>
            <rFont val="ＭＳ Ｐゴシック"/>
            <family val="3"/>
            <charset val="128"/>
          </rPr>
          <t>パスアラウンドの場合、「開始日」と「終了日」を記載する
例）2015/2/2（月）～2015/2/6（金）</t>
        </r>
      </text>
    </comment>
    <comment ref="L28" authorId="1" shapeId="0">
      <text>
        <r>
          <rPr>
            <b/>
            <sz val="9"/>
            <color indexed="81"/>
            <rFont val="ＭＳ Ｐゴシック"/>
            <family val="3"/>
            <charset val="128"/>
          </rPr>
          <t>レビューごとに、対象成果物に対するレビューの対象範囲を定義する。
例）
成果番号①：XXページ～XXページ
成果番号②：XX機能</t>
        </r>
      </text>
    </comment>
    <comment ref="J49" authorId="1" shapeId="0">
      <text>
        <r>
          <rPr>
            <b/>
            <sz val="9"/>
            <color indexed="81"/>
            <rFont val="ＭＳ Ｐゴシック"/>
            <family val="3"/>
            <charset val="128"/>
          </rPr>
          <t>はず設計に該当する場合：○
はず設計に該当しない場合：－</t>
        </r>
      </text>
    </comment>
    <comment ref="X49" authorId="2" shapeId="0">
      <text>
        <r>
          <rPr>
            <b/>
            <sz val="9"/>
            <color indexed="81"/>
            <rFont val="ＭＳ Ｐゴシック"/>
            <family val="3"/>
            <charset val="128"/>
          </rPr>
          <t>対策不要に対する承認も本列で表現する。</t>
        </r>
      </text>
    </comment>
  </commentList>
</comments>
</file>

<file path=xl/sharedStrings.xml><?xml version="1.0" encoding="utf-8"?>
<sst xmlns="http://schemas.openxmlformats.org/spreadsheetml/2006/main" count="1094" uniqueCount="592">
  <si>
    <t>松浦</t>
    <rPh sb="0" eb="2">
      <t>マツウラ</t>
    </rPh>
    <phoneticPr fontId="4"/>
  </si>
  <si>
    <t>後藤</t>
    <rPh sb="0" eb="2">
      <t>ゴトウ</t>
    </rPh>
    <phoneticPr fontId="4"/>
  </si>
  <si>
    <t>シート全体を削除</t>
    <rPh sb="3" eb="5">
      <t>ゼンタイ</t>
    </rPh>
    <rPh sb="6" eb="8">
      <t>サクジョ</t>
    </rPh>
    <phoneticPr fontId="4"/>
  </si>
  <si>
    <t>各確認事項の判定で、妥当性判断の根拠記述を促すコメントを欄外に追記</t>
    <rPh sb="0" eb="1">
      <t>カク</t>
    </rPh>
    <rPh sb="1" eb="3">
      <t>カクニン</t>
    </rPh>
    <rPh sb="3" eb="5">
      <t>ジコウ</t>
    </rPh>
    <rPh sb="6" eb="8">
      <t>ハンテイ</t>
    </rPh>
    <phoneticPr fontId="4"/>
  </si>
  <si>
    <t>「公式レビュー」という記述を「設計品質レビュー」に変更</t>
    <rPh sb="1" eb="3">
      <t>コウシキ</t>
    </rPh>
    <rPh sb="11" eb="13">
      <t>キジュツ</t>
    </rPh>
    <rPh sb="15" eb="17">
      <t>セッケイ</t>
    </rPh>
    <rPh sb="17" eb="19">
      <t>ヒンシツ</t>
    </rPh>
    <rPh sb="25" eb="27">
      <t>ヘンコウ</t>
    </rPh>
    <phoneticPr fontId="4"/>
  </si>
  <si>
    <t>・DR品質を可視化し、下記を意識したDRを行うため。</t>
    <rPh sb="3" eb="5">
      <t>ヒンシツ</t>
    </rPh>
    <rPh sb="6" eb="9">
      <t>カシカ</t>
    </rPh>
    <rPh sb="11" eb="13">
      <t>カキ</t>
    </rPh>
    <rPh sb="14" eb="16">
      <t>イシキ</t>
    </rPh>
    <rPh sb="21" eb="22">
      <t>オコナ</t>
    </rPh>
    <phoneticPr fontId="4"/>
  </si>
  <si>
    <t>・各室からの要望対応</t>
    <rPh sb="1" eb="3">
      <t>カクシツ</t>
    </rPh>
    <rPh sb="6" eb="8">
      <t>ヨウボウ</t>
    </rPh>
    <rPh sb="8" eb="10">
      <t>タイオウ</t>
    </rPh>
    <phoneticPr fontId="4"/>
  </si>
  <si>
    <t>・「設計検証」「設計審査」「妥当性確認」は公式レビューではないため。</t>
    <rPh sb="2" eb="4">
      <t>セッケイ</t>
    </rPh>
    <rPh sb="4" eb="6">
      <t>ケンショウ</t>
    </rPh>
    <rPh sb="8" eb="10">
      <t>セッケイ</t>
    </rPh>
    <rPh sb="10" eb="12">
      <t>シンサ</t>
    </rPh>
    <rPh sb="14" eb="17">
      <t>ダトウセイ</t>
    </rPh>
    <rPh sb="17" eb="19">
      <t>カクニン</t>
    </rPh>
    <rPh sb="21" eb="23">
      <t>コウシキ</t>
    </rPh>
    <phoneticPr fontId="4"/>
  </si>
  <si>
    <t>・設計品質レビュー議事録は別途帳票テンプレートが用意されており、二重メンテによる不整合のリスクがあるため。</t>
    <rPh sb="1" eb="3">
      <t>セッケイ</t>
    </rPh>
    <rPh sb="13" eb="15">
      <t>ベット</t>
    </rPh>
    <rPh sb="24" eb="26">
      <t>ヨウイ</t>
    </rPh>
    <phoneticPr fontId="4"/>
  </si>
  <si>
    <t>未完了</t>
    <rPh sb="0" eb="1">
      <t>ミ</t>
    </rPh>
    <rPh sb="1" eb="3">
      <t>カンリョウ</t>
    </rPh>
    <phoneticPr fontId="4"/>
  </si>
  <si>
    <t>対策
担当</t>
    <rPh sb="0" eb="2">
      <t>タイサク</t>
    </rPh>
    <rPh sb="3" eb="5">
      <t>タントウ</t>
    </rPh>
    <phoneticPr fontId="4"/>
  </si>
  <si>
    <t>確認
担当</t>
    <rPh sb="0" eb="2">
      <t>カクニン</t>
    </rPh>
    <rPh sb="3" eb="5">
      <t>タントウ</t>
    </rPh>
    <phoneticPr fontId="4"/>
  </si>
  <si>
    <t>対策計画</t>
    <rPh sb="0" eb="2">
      <t>タイサク</t>
    </rPh>
    <rPh sb="2" eb="4">
      <t>ケイカク</t>
    </rPh>
    <phoneticPr fontId="4"/>
  </si>
  <si>
    <t>実績日付</t>
    <rPh sb="0" eb="2">
      <t>ジッセキ</t>
    </rPh>
    <rPh sb="2" eb="4">
      <t>ヒヅケ</t>
    </rPh>
    <phoneticPr fontId="4"/>
  </si>
  <si>
    <t>対策
不要</t>
    <rPh sb="0" eb="2">
      <t>タイサク</t>
    </rPh>
    <rPh sb="3" eb="5">
      <t>フヨウ</t>
    </rPh>
    <phoneticPr fontId="4"/>
  </si>
  <si>
    <t>数式</t>
    <rPh sb="0" eb="2">
      <t>スウシキ</t>
    </rPh>
    <phoneticPr fontId="4"/>
  </si>
  <si>
    <t>レビューの終了条件
（成果物の承認条件）</t>
    <rPh sb="5" eb="7">
      <t>シュウリョウ</t>
    </rPh>
    <rPh sb="7" eb="9">
      <t>ジョウケン</t>
    </rPh>
    <rPh sb="11" eb="13">
      <t>セイカ</t>
    </rPh>
    <rPh sb="13" eb="14">
      <t>ブツ</t>
    </rPh>
    <rPh sb="15" eb="17">
      <t>ショウニン</t>
    </rPh>
    <rPh sb="17" eb="19">
      <t>ジョウケン</t>
    </rPh>
    <phoneticPr fontId="4"/>
  </si>
  <si>
    <t>回目</t>
    <rPh sb="0" eb="2">
      <t>カイメ</t>
    </rPh>
    <phoneticPr fontId="4"/>
  </si>
  <si>
    <t>対策完了
予定日</t>
    <rPh sb="0" eb="2">
      <t>タイサク</t>
    </rPh>
    <rPh sb="2" eb="4">
      <t>カンリョウ</t>
    </rPh>
    <rPh sb="5" eb="8">
      <t>ヨテイビ</t>
    </rPh>
    <phoneticPr fontId="4"/>
  </si>
  <si>
    <t>対策完了
実績日</t>
    <rPh sb="0" eb="2">
      <t>タイサク</t>
    </rPh>
    <rPh sb="2" eb="4">
      <t>カンリョウ</t>
    </rPh>
    <rPh sb="5" eb="7">
      <t>ジッセキ</t>
    </rPh>
    <rPh sb="7" eb="8">
      <t>ビ</t>
    </rPh>
    <phoneticPr fontId="4"/>
  </si>
  <si>
    <t>警告</t>
    <rPh sb="0" eb="2">
      <t>ケイコク</t>
    </rPh>
    <phoneticPr fontId="4"/>
  </si>
  <si>
    <t>要否</t>
    <rPh sb="0" eb="2">
      <t>ヨウヒ</t>
    </rPh>
    <phoneticPr fontId="4"/>
  </si>
  <si>
    <t>対策
状況</t>
    <rPh sb="0" eb="2">
      <t>タイサク</t>
    </rPh>
    <rPh sb="3" eb="5">
      <t>ジョウキョウ</t>
    </rPh>
    <phoneticPr fontId="4"/>
  </si>
  <si>
    <t>確認
結果</t>
    <rPh sb="0" eb="2">
      <t>カクニン</t>
    </rPh>
    <rPh sb="3" eb="5">
      <t>ケッカ</t>
    </rPh>
    <phoneticPr fontId="4"/>
  </si>
  <si>
    <t>指摘種別</t>
    <rPh sb="0" eb="2">
      <t>シテキ</t>
    </rPh>
    <rPh sb="2" eb="4">
      <t>シュベツ</t>
    </rPh>
    <phoneticPr fontId="4"/>
  </si>
  <si>
    <t>計画時記入</t>
    <rPh sb="0" eb="2">
      <t>ケイカク</t>
    </rPh>
    <rPh sb="2" eb="3">
      <t>ジ</t>
    </rPh>
    <rPh sb="3" eb="5">
      <t>キニュウ</t>
    </rPh>
    <phoneticPr fontId="4"/>
  </si>
  <si>
    <t>■処置状況</t>
    <rPh sb="1" eb="3">
      <t>ショチ</t>
    </rPh>
    <rPh sb="3" eb="5">
      <t>ジョウキョウ</t>
    </rPh>
    <phoneticPr fontId="4"/>
  </si>
  <si>
    <t>未対策件数</t>
    <rPh sb="0" eb="1">
      <t>ミ</t>
    </rPh>
    <rPh sb="1" eb="3">
      <t>タイサク</t>
    </rPh>
    <rPh sb="3" eb="5">
      <t>ケンスウ</t>
    </rPh>
    <phoneticPr fontId="4"/>
  </si>
  <si>
    <t>【共通定義】</t>
    <rPh sb="1" eb="3">
      <t>キョウツウ</t>
    </rPh>
    <rPh sb="3" eb="5">
      <t>テイギ</t>
    </rPh>
    <phoneticPr fontId="4"/>
  </si>
  <si>
    <t>工程定義</t>
    <rPh sb="0" eb="2">
      <t>コウテイ</t>
    </rPh>
    <rPh sb="2" eb="4">
      <t>テイギ</t>
    </rPh>
    <phoneticPr fontId="4"/>
  </si>
  <si>
    <t>【個別定義】</t>
    <rPh sb="1" eb="3">
      <t>コベツ</t>
    </rPh>
    <rPh sb="3" eb="5">
      <t>テイギ</t>
    </rPh>
    <phoneticPr fontId="4"/>
  </si>
  <si>
    <t>工程</t>
    <rPh sb="0" eb="2">
      <t>コウテイ</t>
    </rPh>
    <phoneticPr fontId="4"/>
  </si>
  <si>
    <t>保留</t>
    <rPh sb="0" eb="2">
      <t>ホリュウ</t>
    </rPh>
    <phoneticPr fontId="4"/>
  </si>
  <si>
    <t>対策実績</t>
    <rPh sb="0" eb="2">
      <t>タイサク</t>
    </rPh>
    <rPh sb="2" eb="4">
      <t>ジッセキ</t>
    </rPh>
    <phoneticPr fontId="4"/>
  </si>
  <si>
    <t>章・節
行番号</t>
    <rPh sb="0" eb="1">
      <t>ショウ</t>
    </rPh>
    <rPh sb="2" eb="3">
      <t>セツ</t>
    </rPh>
    <rPh sb="4" eb="7">
      <t>ギョウバンゴウ</t>
    </rPh>
    <phoneticPr fontId="4"/>
  </si>
  <si>
    <t>指摘
種別</t>
    <rPh sb="0" eb="2">
      <t>シテキ</t>
    </rPh>
    <rPh sb="3" eb="5">
      <t>シュベツ</t>
    </rPh>
    <phoneticPr fontId="4"/>
  </si>
  <si>
    <t>評価</t>
    <rPh sb="0" eb="2">
      <t>ヒョウカ</t>
    </rPh>
    <phoneticPr fontId="4"/>
  </si>
  <si>
    <t>改訂理由</t>
    <rPh sb="0" eb="2">
      <t>カイテイ</t>
    </rPh>
    <rPh sb="2" eb="4">
      <t>リユウ</t>
    </rPh>
    <phoneticPr fontId="4"/>
  </si>
  <si>
    <t>奥野</t>
    <rPh sb="0" eb="2">
      <t>オクノ</t>
    </rPh>
    <phoneticPr fontId="4"/>
  </si>
  <si>
    <t>何回目</t>
    <rPh sb="0" eb="3">
      <t>ナンカイメ</t>
    </rPh>
    <phoneticPr fontId="4"/>
  </si>
  <si>
    <t>対象
成果番号</t>
    <rPh sb="0" eb="2">
      <t>タイショウ</t>
    </rPh>
    <rPh sb="3" eb="5">
      <t>セイカ</t>
    </rPh>
    <rPh sb="5" eb="7">
      <t>バンゴウ</t>
    </rPh>
    <phoneticPr fontId="4"/>
  </si>
  <si>
    <t>対策対象</t>
    <rPh sb="0" eb="2">
      <t>タイサク</t>
    </rPh>
    <rPh sb="2" eb="4">
      <t>タイショウ</t>
    </rPh>
    <phoneticPr fontId="4"/>
  </si>
  <si>
    <t>成果番号</t>
    <rPh sb="0" eb="2">
      <t>セイカ</t>
    </rPh>
    <rPh sb="2" eb="4">
      <t>バンゴウ</t>
    </rPh>
    <phoneticPr fontId="4"/>
  </si>
  <si>
    <t>①ＤＲ品質の成果種別をリスト選択に
②成果名称欄で、複数を対象とする場合の記述例</t>
    <rPh sb="3" eb="5">
      <t>ヒンシツ</t>
    </rPh>
    <rPh sb="6" eb="8">
      <t>セイカ</t>
    </rPh>
    <rPh sb="8" eb="10">
      <t>シュベツ</t>
    </rPh>
    <rPh sb="14" eb="16">
      <t>センタク</t>
    </rPh>
    <rPh sb="19" eb="21">
      <t>セイカ</t>
    </rPh>
    <rPh sb="21" eb="23">
      <t>メイショウ</t>
    </rPh>
    <rPh sb="23" eb="24">
      <t>ラン</t>
    </rPh>
    <rPh sb="26" eb="28">
      <t>フクスウ</t>
    </rPh>
    <rPh sb="29" eb="31">
      <t>タイショウ</t>
    </rPh>
    <rPh sb="34" eb="36">
      <t>バアイ</t>
    </rPh>
    <rPh sb="37" eb="39">
      <t>キジュツ</t>
    </rPh>
    <rPh sb="39" eb="40">
      <t>レイ</t>
    </rPh>
    <phoneticPr fontId="4"/>
  </si>
  <si>
    <t>承認</t>
    <rPh sb="0" eb="2">
      <t>ショウニン</t>
    </rPh>
    <phoneticPr fontId="4"/>
  </si>
  <si>
    <t>妥当性の根拠／妥当でない場合の対策</t>
    <rPh sb="0" eb="3">
      <t>ダトウセイ</t>
    </rPh>
    <rPh sb="4" eb="6">
      <t>コンキョ</t>
    </rPh>
    <rPh sb="7" eb="9">
      <t>ダトウ</t>
    </rPh>
    <rPh sb="12" eb="14">
      <t>バアイ</t>
    </rPh>
    <rPh sb="15" eb="17">
      <t>タイサク</t>
    </rPh>
    <phoneticPr fontId="4"/>
  </si>
  <si>
    <t>行</t>
    <rPh sb="0" eb="1">
      <t>ギョウ</t>
    </rPh>
    <phoneticPr fontId="4"/>
  </si>
  <si>
    <t>保留件数</t>
    <rPh sb="0" eb="2">
      <t>ホリュウ</t>
    </rPh>
    <rPh sb="2" eb="4">
      <t>ケンスウ</t>
    </rPh>
    <phoneticPr fontId="4"/>
  </si>
  <si>
    <t>成果名称</t>
    <rPh sb="0" eb="2">
      <t>セイカ</t>
    </rPh>
    <rPh sb="2" eb="4">
      <t>メイショウ</t>
    </rPh>
    <phoneticPr fontId="4"/>
  </si>
  <si>
    <t>対象/免除</t>
    <rPh sb="0" eb="2">
      <t>タイショウ</t>
    </rPh>
    <rPh sb="3" eb="5">
      <t>メンジョ</t>
    </rPh>
    <phoneticPr fontId="4"/>
  </si>
  <si>
    <t>実績工数</t>
    <rPh sb="0" eb="2">
      <t>ジッセキ</t>
    </rPh>
    <rPh sb="2" eb="4">
      <t>コウスウ</t>
    </rPh>
    <phoneticPr fontId="4"/>
  </si>
  <si>
    <t>④</t>
    <phoneticPr fontId="4"/>
  </si>
  <si>
    <t>項目</t>
    <rPh sb="0" eb="2">
      <t>コウモク</t>
    </rPh>
    <phoneticPr fontId="4"/>
  </si>
  <si>
    <t>成果単位</t>
    <rPh sb="0" eb="2">
      <t>セイカ</t>
    </rPh>
    <rPh sb="2" eb="4">
      <t>タンイ</t>
    </rPh>
    <phoneticPr fontId="4"/>
  </si>
  <si>
    <t>頁</t>
    <rPh sb="0" eb="1">
      <t>ペイジ</t>
    </rPh>
    <phoneticPr fontId="4"/>
  </si>
  <si>
    <t>成果物
担当</t>
    <rPh sb="0" eb="2">
      <t>セイカ</t>
    </rPh>
    <rPh sb="2" eb="3">
      <t>ブツ</t>
    </rPh>
    <rPh sb="4" eb="6">
      <t>タントウ</t>
    </rPh>
    <phoneticPr fontId="4"/>
  </si>
  <si>
    <t>未完了
件数</t>
    <rPh sb="0" eb="1">
      <t>ミ</t>
    </rPh>
    <rPh sb="1" eb="3">
      <t>カンリョウ</t>
    </rPh>
    <rPh sb="4" eb="6">
      <t>ケンスウ</t>
    </rPh>
    <phoneticPr fontId="4"/>
  </si>
  <si>
    <t>製作</t>
    <rPh sb="0" eb="2">
      <t>セイサク</t>
    </rPh>
    <phoneticPr fontId="4"/>
  </si>
  <si>
    <t>プロジェクト名称のセル幅拡張</t>
    <rPh sb="6" eb="8">
      <t>メイショウ</t>
    </rPh>
    <rPh sb="11" eb="12">
      <t>ハバ</t>
    </rPh>
    <rPh sb="12" eb="14">
      <t>カクチョウ</t>
    </rPh>
    <phoneticPr fontId="4"/>
  </si>
  <si>
    <t>レビュー計画/実績日の書式変更</t>
    <rPh sb="4" eb="6">
      <t>ケイカク</t>
    </rPh>
    <rPh sb="7" eb="9">
      <t>ジッセキ</t>
    </rPh>
    <rPh sb="9" eb="10">
      <t>ビ</t>
    </rPh>
    <rPh sb="11" eb="13">
      <t>ショシキ</t>
    </rPh>
    <rPh sb="13" eb="15">
      <t>ヘンコウ</t>
    </rPh>
    <phoneticPr fontId="4"/>
  </si>
  <si>
    <t>①共通チェック項目に「成果物の品質の妥当性」評価欄を追加
②ヘッダ部に「何回目のレビューかを記入する欄」（Ｂ列）、「対象成果物を記入する欄」（Ｃ列）を追加
③不具合・指摘内容に「検出工程」欄を追加
④指摘項目数に工程流出件数を追加</t>
    <rPh sb="1" eb="3">
      <t>キョウツウ</t>
    </rPh>
    <rPh sb="7" eb="9">
      <t>コウモク</t>
    </rPh>
    <rPh sb="11" eb="13">
      <t>セイカ</t>
    </rPh>
    <rPh sb="13" eb="14">
      <t>ブツ</t>
    </rPh>
    <rPh sb="15" eb="17">
      <t>ヒンシツ</t>
    </rPh>
    <rPh sb="18" eb="21">
      <t>ダトウセイ</t>
    </rPh>
    <rPh sb="22" eb="24">
      <t>ヒョウカ</t>
    </rPh>
    <rPh sb="24" eb="25">
      <t>ラン</t>
    </rPh>
    <rPh sb="26" eb="28">
      <t>ツイカ</t>
    </rPh>
    <rPh sb="33" eb="34">
      <t>ブ</t>
    </rPh>
    <rPh sb="36" eb="39">
      <t>ナンカイメ</t>
    </rPh>
    <rPh sb="46" eb="48">
      <t>キニュウ</t>
    </rPh>
    <rPh sb="50" eb="51">
      <t>ラン</t>
    </rPh>
    <rPh sb="54" eb="55">
      <t>レツ</t>
    </rPh>
    <rPh sb="58" eb="60">
      <t>タイショウ</t>
    </rPh>
    <rPh sb="60" eb="62">
      <t>セイカ</t>
    </rPh>
    <rPh sb="62" eb="63">
      <t>ブツ</t>
    </rPh>
    <rPh sb="64" eb="66">
      <t>キニュウ</t>
    </rPh>
    <rPh sb="68" eb="69">
      <t>ラン</t>
    </rPh>
    <rPh sb="72" eb="73">
      <t>レツ</t>
    </rPh>
    <rPh sb="75" eb="77">
      <t>ツイカ</t>
    </rPh>
    <rPh sb="79" eb="82">
      <t>フグアイ</t>
    </rPh>
    <rPh sb="83" eb="85">
      <t>シテキ</t>
    </rPh>
    <rPh sb="85" eb="87">
      <t>ナイヨウ</t>
    </rPh>
    <rPh sb="89" eb="91">
      <t>ケンシュツ</t>
    </rPh>
    <rPh sb="91" eb="93">
      <t>コウテイ</t>
    </rPh>
    <rPh sb="94" eb="95">
      <t>ラン</t>
    </rPh>
    <rPh sb="96" eb="98">
      <t>ツイカ</t>
    </rPh>
    <rPh sb="100" eb="102">
      <t>シテキ</t>
    </rPh>
    <rPh sb="102" eb="105">
      <t>コウモクスウ</t>
    </rPh>
    <rPh sb="106" eb="108">
      <t>コウテイ</t>
    </rPh>
    <rPh sb="108" eb="110">
      <t>リュウシュツ</t>
    </rPh>
    <rPh sb="110" eb="112">
      <t>ケンスウ</t>
    </rPh>
    <rPh sb="113" eb="115">
      <t>ツイカ</t>
    </rPh>
    <phoneticPr fontId="4"/>
  </si>
  <si>
    <t>工程不具合分布：検出不具合件数を追加</t>
    <rPh sb="0" eb="2">
      <t>コウテイ</t>
    </rPh>
    <rPh sb="2" eb="5">
      <t>フグアイ</t>
    </rPh>
    <rPh sb="5" eb="7">
      <t>ブンプ</t>
    </rPh>
    <rPh sb="8" eb="10">
      <t>ケンシュツ</t>
    </rPh>
    <rPh sb="10" eb="13">
      <t>フグアイ</t>
    </rPh>
    <rPh sb="13" eb="15">
      <t>ケンスウ</t>
    </rPh>
    <rPh sb="16" eb="18">
      <t>ツイカ</t>
    </rPh>
    <phoneticPr fontId="4"/>
  </si>
  <si>
    <t>初版リリース</t>
    <rPh sb="0" eb="2">
      <t>ショハン</t>
    </rPh>
    <phoneticPr fontId="4"/>
  </si>
  <si>
    <t>対策不要</t>
    <rPh sb="0" eb="2">
      <t>タイサク</t>
    </rPh>
    <rPh sb="2" eb="4">
      <t>フヨウ</t>
    </rPh>
    <phoneticPr fontId="4"/>
  </si>
  <si>
    <t>対策不要件数</t>
    <rPh sb="0" eb="2">
      <t>タイサク</t>
    </rPh>
    <rPh sb="2" eb="4">
      <t>フヨウ</t>
    </rPh>
    <rPh sb="4" eb="6">
      <t>ケンスウ</t>
    </rPh>
    <phoneticPr fontId="4"/>
  </si>
  <si>
    <t>保留
件数</t>
    <rPh sb="0" eb="2">
      <t>ホリュウ</t>
    </rPh>
    <rPh sb="3" eb="5">
      <t>ケンスウ</t>
    </rPh>
    <phoneticPr fontId="4"/>
  </si>
  <si>
    <t>土井</t>
    <rPh sb="0" eb="2">
      <t>ドイ</t>
    </rPh>
    <phoneticPr fontId="4"/>
  </si>
  <si>
    <t>日付</t>
    <rPh sb="0" eb="2">
      <t>ヒヅケ</t>
    </rPh>
    <phoneticPr fontId="4"/>
  </si>
  <si>
    <t>改訂者</t>
    <rPh sb="0" eb="2">
      <t>カイテイ</t>
    </rPh>
    <rPh sb="2" eb="3">
      <t>シャ</t>
    </rPh>
    <phoneticPr fontId="4"/>
  </si>
  <si>
    <t>改訂内容</t>
    <rPh sb="0" eb="2">
      <t>カイテイ</t>
    </rPh>
    <rPh sb="2" eb="4">
      <t>ナイヨウ</t>
    </rPh>
    <phoneticPr fontId="4"/>
  </si>
  <si>
    <t>集計結果</t>
    <rPh sb="0" eb="2">
      <t>シュウケイ</t>
    </rPh>
    <rPh sb="2" eb="4">
      <t>ケッカ</t>
    </rPh>
    <phoneticPr fontId="4"/>
  </si>
  <si>
    <t>実績/計画</t>
    <rPh sb="0" eb="2">
      <t>ジッセキ</t>
    </rPh>
    <rPh sb="3" eb="5">
      <t>ケイカク</t>
    </rPh>
    <phoneticPr fontId="4"/>
  </si>
  <si>
    <t>対象成果物名称</t>
    <rPh sb="0" eb="2">
      <t>タイショウ</t>
    </rPh>
    <rPh sb="2" eb="4">
      <t>セイカ</t>
    </rPh>
    <rPh sb="4" eb="5">
      <t>ブツ</t>
    </rPh>
    <rPh sb="5" eb="7">
      <t>メイショウ</t>
    </rPh>
    <phoneticPr fontId="4"/>
  </si>
  <si>
    <t>プロジェクト番号：</t>
    <rPh sb="6" eb="8">
      <t>バンゴウ</t>
    </rPh>
    <phoneticPr fontId="4"/>
  </si>
  <si>
    <t>プロジェクト名：</t>
    <rPh sb="6" eb="7">
      <t>メイ</t>
    </rPh>
    <phoneticPr fontId="4"/>
  </si>
  <si>
    <t>案件名：</t>
    <rPh sb="0" eb="2">
      <t>アンケン</t>
    </rPh>
    <rPh sb="2" eb="3">
      <t>メイ</t>
    </rPh>
    <phoneticPr fontId="4"/>
  </si>
  <si>
    <t>参照帳票</t>
    <rPh sb="0" eb="2">
      <t>サンショウ</t>
    </rPh>
    <rPh sb="2" eb="4">
      <t>チョウヒョウ</t>
    </rPh>
    <phoneticPr fontId="4"/>
  </si>
  <si>
    <t>■対象成果物</t>
    <rPh sb="1" eb="3">
      <t>タイショウ</t>
    </rPh>
    <rPh sb="3" eb="5">
      <t>セイカ</t>
    </rPh>
    <rPh sb="5" eb="6">
      <t>ブツ</t>
    </rPh>
    <phoneticPr fontId="4"/>
  </si>
  <si>
    <t>■ロール定義</t>
    <rPh sb="4" eb="6">
      <t>テイギ</t>
    </rPh>
    <phoneticPr fontId="4"/>
  </si>
  <si>
    <t>成果物の承認者</t>
    <rPh sb="0" eb="2">
      <t>セイカ</t>
    </rPh>
    <rPh sb="2" eb="3">
      <t>ブツ</t>
    </rPh>
    <rPh sb="4" eb="6">
      <t>ショウニン</t>
    </rPh>
    <rPh sb="6" eb="7">
      <t>シャ</t>
    </rPh>
    <phoneticPr fontId="4"/>
  </si>
  <si>
    <t>指摘事項の対策承認者</t>
    <rPh sb="0" eb="2">
      <t>シテキ</t>
    </rPh>
    <rPh sb="2" eb="4">
      <t>ジコウ</t>
    </rPh>
    <rPh sb="5" eb="7">
      <t>タイサク</t>
    </rPh>
    <rPh sb="7" eb="9">
      <t>ショウニン</t>
    </rPh>
    <rPh sb="9" eb="10">
      <t>シャ</t>
    </rPh>
    <phoneticPr fontId="4"/>
  </si>
  <si>
    <t>ＰＭ</t>
    <phoneticPr fontId="4"/>
  </si>
  <si>
    <t>指摘事項の対策確認責任者</t>
    <rPh sb="0" eb="2">
      <t>シテキ</t>
    </rPh>
    <rPh sb="2" eb="4">
      <t>ジコウ</t>
    </rPh>
    <rPh sb="5" eb="7">
      <t>タイサク</t>
    </rPh>
    <rPh sb="7" eb="9">
      <t>カクニン</t>
    </rPh>
    <rPh sb="9" eb="11">
      <t>セキニン</t>
    </rPh>
    <rPh sb="11" eb="12">
      <t>シャ</t>
    </rPh>
    <phoneticPr fontId="4"/>
  </si>
  <si>
    <t>ＤＲ評価</t>
    <rPh sb="2" eb="4">
      <t>ヒョウカ</t>
    </rPh>
    <phoneticPr fontId="4"/>
  </si>
  <si>
    <t>備考欄</t>
    <rPh sb="0" eb="2">
      <t>ビコウ</t>
    </rPh>
    <rPh sb="2" eb="3">
      <t>ラン</t>
    </rPh>
    <phoneticPr fontId="4"/>
  </si>
  <si>
    <t>対策計画
承認</t>
    <rPh sb="0" eb="2">
      <t>タイサク</t>
    </rPh>
    <rPh sb="2" eb="4">
      <t>ケイカク</t>
    </rPh>
    <rPh sb="5" eb="7">
      <t>ショウニン</t>
    </rPh>
    <phoneticPr fontId="4"/>
  </si>
  <si>
    <t>初回
計画日</t>
    <rPh sb="0" eb="2">
      <t>ショカイ</t>
    </rPh>
    <rPh sb="3" eb="5">
      <t>ケイカク</t>
    </rPh>
    <rPh sb="5" eb="6">
      <t>ヒ</t>
    </rPh>
    <phoneticPr fontId="4"/>
  </si>
  <si>
    <t>成果物
作成
計画工数</t>
    <rPh sb="0" eb="2">
      <t>セイカ</t>
    </rPh>
    <rPh sb="2" eb="3">
      <t>ブツ</t>
    </rPh>
    <rPh sb="4" eb="6">
      <t>サクセイ</t>
    </rPh>
    <rPh sb="7" eb="9">
      <t>ケイカク</t>
    </rPh>
    <rPh sb="9" eb="11">
      <t>コウスウ</t>
    </rPh>
    <phoneticPr fontId="4"/>
  </si>
  <si>
    <t>成果物
作成
実績工数</t>
    <rPh sb="7" eb="9">
      <t>ジッセキ</t>
    </rPh>
    <rPh sb="9" eb="11">
      <t>コウスウ</t>
    </rPh>
    <phoneticPr fontId="4"/>
  </si>
  <si>
    <t>実績
成果量</t>
    <rPh sb="0" eb="2">
      <t>ジッセキ</t>
    </rPh>
    <rPh sb="3" eb="5">
      <t>セイカ</t>
    </rPh>
    <rPh sb="5" eb="6">
      <t>リョウ</t>
    </rPh>
    <phoneticPr fontId="4"/>
  </si>
  <si>
    <t>計画
成果量</t>
    <rPh sb="0" eb="2">
      <t>ケイカク</t>
    </rPh>
    <rPh sb="3" eb="5">
      <t>セイカ</t>
    </rPh>
    <rPh sb="5" eb="6">
      <t>リョウ</t>
    </rPh>
    <phoneticPr fontId="4"/>
  </si>
  <si>
    <t>実績成果量</t>
    <rPh sb="0" eb="2">
      <t>ジッセキ</t>
    </rPh>
    <rPh sb="2" eb="4">
      <t>セイカ</t>
    </rPh>
    <rPh sb="4" eb="5">
      <t>リョウ</t>
    </rPh>
    <phoneticPr fontId="4"/>
  </si>
  <si>
    <t>○</t>
  </si>
  <si>
    <t>項目数</t>
    <rPh sb="0" eb="3">
      <t>コウモクスウ</t>
    </rPh>
    <phoneticPr fontId="4"/>
  </si>
  <si>
    <t>■規模・工数</t>
    <rPh sb="1" eb="3">
      <t>キボ</t>
    </rPh>
    <rPh sb="4" eb="6">
      <t>コウスウ</t>
    </rPh>
    <phoneticPr fontId="4"/>
  </si>
  <si>
    <t>想定混入件数</t>
    <rPh sb="0" eb="2">
      <t>ソウテイ</t>
    </rPh>
    <rPh sb="2" eb="4">
      <t>コンニュウ</t>
    </rPh>
    <rPh sb="4" eb="6">
      <t>ケンスウ</t>
    </rPh>
    <phoneticPr fontId="4"/>
  </si>
  <si>
    <t>目標摘出件数</t>
    <rPh sb="0" eb="2">
      <t>モクヒョウ</t>
    </rPh>
    <rPh sb="2" eb="4">
      <t>テキシュツ</t>
    </rPh>
    <rPh sb="4" eb="6">
      <t>ケンスウ</t>
    </rPh>
    <phoneticPr fontId="4"/>
  </si>
  <si>
    <t>レビュー工数</t>
    <rPh sb="4" eb="6">
      <t>コウスウ</t>
    </rPh>
    <phoneticPr fontId="4"/>
  </si>
  <si>
    <t>計画レビュー
工数(H)</t>
    <rPh sb="0" eb="2">
      <t>ケイカク</t>
    </rPh>
    <rPh sb="7" eb="9">
      <t>コウスウ</t>
    </rPh>
    <phoneticPr fontId="4"/>
  </si>
  <si>
    <t>実績レビュー
工数（H)</t>
    <rPh sb="0" eb="2">
      <t>ジッセキ</t>
    </rPh>
    <rPh sb="7" eb="9">
      <t>コウスウ</t>
    </rPh>
    <phoneticPr fontId="4"/>
  </si>
  <si>
    <t>成果量</t>
    <rPh sb="0" eb="2">
      <t>セイカ</t>
    </rPh>
    <rPh sb="2" eb="3">
      <t>リョウ</t>
    </rPh>
    <phoneticPr fontId="4"/>
  </si>
  <si>
    <t>■レビューの評価</t>
    <rPh sb="6" eb="8">
      <t>ヒョウカ</t>
    </rPh>
    <phoneticPr fontId="4"/>
  </si>
  <si>
    <t>■DR評価</t>
    <rPh sb="3" eb="5">
      <t>ヒョウカ</t>
    </rPh>
    <phoneticPr fontId="4"/>
  </si>
  <si>
    <t>観点評価</t>
    <rPh sb="0" eb="2">
      <t>カンテン</t>
    </rPh>
    <rPh sb="2" eb="4">
      <t>ヒョウカ</t>
    </rPh>
    <phoneticPr fontId="4"/>
  </si>
  <si>
    <t>指摘</t>
    <rPh sb="0" eb="2">
      <t>シテキ</t>
    </rPh>
    <phoneticPr fontId="4"/>
  </si>
  <si>
    <t>継続/終了</t>
    <rPh sb="0" eb="2">
      <t>ケイゾク</t>
    </rPh>
    <rPh sb="3" eb="5">
      <t>シュウリョウ</t>
    </rPh>
    <phoneticPr fontId="4"/>
  </si>
  <si>
    <t>警告件数</t>
    <rPh sb="0" eb="2">
      <t>ケイコク</t>
    </rPh>
    <rPh sb="2" eb="4">
      <t>ケンスウ</t>
    </rPh>
    <phoneticPr fontId="4"/>
  </si>
  <si>
    <t>計画/実施</t>
    <rPh sb="0" eb="2">
      <t>ケイカク</t>
    </rPh>
    <rPh sb="3" eb="5">
      <t>ジッシ</t>
    </rPh>
    <phoneticPr fontId="4"/>
  </si>
  <si>
    <t>品質特性</t>
    <rPh sb="0" eb="2">
      <t>ヒンシツ</t>
    </rPh>
    <rPh sb="2" eb="4">
      <t>トクセイ</t>
    </rPh>
    <phoneticPr fontId="4"/>
  </si>
  <si>
    <t>機能性</t>
    <rPh sb="0" eb="3">
      <t>キノウセイ</t>
    </rPh>
    <phoneticPr fontId="4"/>
  </si>
  <si>
    <t>信頼性</t>
    <rPh sb="0" eb="3">
      <t>シンライセイ</t>
    </rPh>
    <phoneticPr fontId="4"/>
  </si>
  <si>
    <t>使用性</t>
    <rPh sb="0" eb="2">
      <t>シヨウ</t>
    </rPh>
    <rPh sb="2" eb="3">
      <t>セイ</t>
    </rPh>
    <phoneticPr fontId="4"/>
  </si>
  <si>
    <t>効率性</t>
    <rPh sb="0" eb="3">
      <t>コウリツセイ</t>
    </rPh>
    <phoneticPr fontId="4"/>
  </si>
  <si>
    <t>保守性</t>
    <rPh sb="0" eb="3">
      <t>ホシュセイ</t>
    </rPh>
    <phoneticPr fontId="4"/>
  </si>
  <si>
    <t>移植性</t>
    <rPh sb="0" eb="3">
      <t>イショクセイ</t>
    </rPh>
    <phoneticPr fontId="4"/>
  </si>
  <si>
    <t>体裁</t>
    <rPh sb="0" eb="2">
      <t>テイサイ</t>
    </rPh>
    <phoneticPr fontId="4"/>
  </si>
  <si>
    <t>過去トラ</t>
    <rPh sb="0" eb="2">
      <t>カコ</t>
    </rPh>
    <phoneticPr fontId="4"/>
  </si>
  <si>
    <t>具体的な観点/技術課題</t>
    <rPh sb="0" eb="3">
      <t>グタイテキ</t>
    </rPh>
    <rPh sb="4" eb="6">
      <t>カンテン</t>
    </rPh>
    <rPh sb="7" eb="9">
      <t>ギジュツ</t>
    </rPh>
    <rPh sb="9" eb="11">
      <t>カダイ</t>
    </rPh>
    <phoneticPr fontId="4"/>
  </si>
  <si>
    <t>■観点の網羅性</t>
    <rPh sb="1" eb="3">
      <t>カンテン</t>
    </rPh>
    <rPh sb="4" eb="7">
      <t>モウラセイ</t>
    </rPh>
    <phoneticPr fontId="4"/>
  </si>
  <si>
    <t>メンバー</t>
    <phoneticPr fontId="4"/>
  </si>
  <si>
    <t>Ａ機能</t>
    <rPh sb="1" eb="3">
      <t>キノウ</t>
    </rPh>
    <phoneticPr fontId="4"/>
  </si>
  <si>
    <t>Ｂ機能</t>
    <rPh sb="1" eb="3">
      <t>キノウ</t>
    </rPh>
    <phoneticPr fontId="4"/>
  </si>
  <si>
    <t>Ｃ機能</t>
    <rPh sb="1" eb="3">
      <t>キノウ</t>
    </rPh>
    <phoneticPr fontId="4"/>
  </si>
  <si>
    <t>Ｄ機能</t>
    <rPh sb="1" eb="3">
      <t>キノウ</t>
    </rPh>
    <phoneticPr fontId="4"/>
  </si>
  <si>
    <t>Ｅ機能</t>
    <rPh sb="1" eb="3">
      <t>キノウ</t>
    </rPh>
    <phoneticPr fontId="4"/>
  </si>
  <si>
    <t>０．目次</t>
    <rPh sb="2" eb="4">
      <t>モクジ</t>
    </rPh>
    <phoneticPr fontId="4"/>
  </si>
  <si>
    <t>①　白セルのみが、入力可能セルです。色付きセルは、数式セルのため、入力不可です。</t>
    <rPh sb="2" eb="3">
      <t>シロ</t>
    </rPh>
    <rPh sb="9" eb="11">
      <t>ニュウリョク</t>
    </rPh>
    <rPh sb="11" eb="13">
      <t>カノウ</t>
    </rPh>
    <rPh sb="18" eb="19">
      <t>イロ</t>
    </rPh>
    <rPh sb="19" eb="20">
      <t>ツ</t>
    </rPh>
    <rPh sb="25" eb="27">
      <t>スウシキ</t>
    </rPh>
    <rPh sb="33" eb="35">
      <t>ニュウリョク</t>
    </rPh>
    <rPh sb="35" eb="37">
      <t>フカ</t>
    </rPh>
    <phoneticPr fontId="4"/>
  </si>
  <si>
    <t>②　赤セルは、入力必須セルです。</t>
    <rPh sb="2" eb="3">
      <t>アカ</t>
    </rPh>
    <rPh sb="7" eb="9">
      <t>ニュウリョク</t>
    </rPh>
    <rPh sb="9" eb="11">
      <t>ヒッス</t>
    </rPh>
    <phoneticPr fontId="4"/>
  </si>
  <si>
    <t>③　記録シートの各ブロックへの行の挿入は、行をコピーして、最終行より上に挿入して下さい。</t>
    <rPh sb="2" eb="4">
      <t>キロク</t>
    </rPh>
    <rPh sb="8" eb="9">
      <t>カク</t>
    </rPh>
    <rPh sb="15" eb="16">
      <t>ギョウ</t>
    </rPh>
    <rPh sb="17" eb="19">
      <t>ソウニュウ</t>
    </rPh>
    <rPh sb="21" eb="22">
      <t>ギョウ</t>
    </rPh>
    <rPh sb="29" eb="32">
      <t>サイシュウギョウ</t>
    </rPh>
    <rPh sb="34" eb="35">
      <t>ウエ</t>
    </rPh>
    <rPh sb="36" eb="38">
      <t>ソウニュウ</t>
    </rPh>
    <rPh sb="40" eb="41">
      <t>クダ</t>
    </rPh>
    <phoneticPr fontId="4"/>
  </si>
  <si>
    <t>対策見積
工数</t>
    <rPh sb="0" eb="2">
      <t>タイサク</t>
    </rPh>
    <rPh sb="2" eb="4">
      <t>ミツ</t>
    </rPh>
    <rPh sb="5" eb="7">
      <t>コウスウ</t>
    </rPh>
    <phoneticPr fontId="4"/>
  </si>
  <si>
    <t>対策実績
工数</t>
    <rPh sb="0" eb="2">
      <t>タイサク</t>
    </rPh>
    <rPh sb="2" eb="4">
      <t>ジッセキ</t>
    </rPh>
    <rPh sb="5" eb="7">
      <t>コウスウ</t>
    </rPh>
    <phoneticPr fontId="4"/>
  </si>
  <si>
    <t>特性観点</t>
    <rPh sb="0" eb="2">
      <t>トクセイ</t>
    </rPh>
    <rPh sb="2" eb="4">
      <t>カンテン</t>
    </rPh>
    <phoneticPr fontId="4"/>
  </si>
  <si>
    <t>成果物の体裁</t>
    <rPh sb="0" eb="2">
      <t>セイカ</t>
    </rPh>
    <rPh sb="2" eb="3">
      <t>ブツ</t>
    </rPh>
    <rPh sb="4" eb="6">
      <t>テイサイ</t>
    </rPh>
    <phoneticPr fontId="4"/>
  </si>
  <si>
    <t>ある環境から他の環境に移すための能力</t>
    <rPh sb="2" eb="4">
      <t>カンキョウ</t>
    </rPh>
    <rPh sb="6" eb="7">
      <t>タ</t>
    </rPh>
    <rPh sb="8" eb="10">
      <t>カンキョウ</t>
    </rPh>
    <rPh sb="11" eb="12">
      <t>ウツ</t>
    </rPh>
    <rPh sb="16" eb="18">
      <t>ノウリョク</t>
    </rPh>
    <phoneticPr fontId="4"/>
  </si>
  <si>
    <t>機能の実現方法とその根拠の妥当性</t>
    <rPh sb="0" eb="2">
      <t>キノウ</t>
    </rPh>
    <rPh sb="3" eb="5">
      <t>ジツゲン</t>
    </rPh>
    <rPh sb="5" eb="7">
      <t>ホウホウ</t>
    </rPh>
    <rPh sb="13" eb="16">
      <t>ダトウセイ</t>
    </rPh>
    <phoneticPr fontId="4"/>
  </si>
  <si>
    <t>新規・変化点が、対象成果物に過不足なく織り込まれている</t>
    <rPh sb="0" eb="2">
      <t>シンキ</t>
    </rPh>
    <rPh sb="3" eb="5">
      <t>ヘンカ</t>
    </rPh>
    <rPh sb="5" eb="6">
      <t>テン</t>
    </rPh>
    <rPh sb="8" eb="10">
      <t>タイショウ</t>
    </rPh>
    <rPh sb="10" eb="12">
      <t>セイカ</t>
    </rPh>
    <rPh sb="12" eb="13">
      <t>ブツ</t>
    </rPh>
    <rPh sb="14" eb="17">
      <t>カフソク</t>
    </rPh>
    <rPh sb="19" eb="20">
      <t>オ</t>
    </rPh>
    <rPh sb="21" eb="22">
      <t>コ</t>
    </rPh>
    <phoneticPr fontId="4"/>
  </si>
  <si>
    <t>再発防止の点検</t>
    <rPh sb="0" eb="2">
      <t>サイハツ</t>
    </rPh>
    <rPh sb="2" eb="4">
      <t>ボウシ</t>
    </rPh>
    <rPh sb="5" eb="7">
      <t>テンケン</t>
    </rPh>
    <phoneticPr fontId="4"/>
  </si>
  <si>
    <t>要記入</t>
    <rPh sb="0" eb="1">
      <t>ヨウ</t>
    </rPh>
    <rPh sb="1" eb="3">
      <t>キニュウ</t>
    </rPh>
    <phoneticPr fontId="4"/>
  </si>
  <si>
    <t>想定外の異常状態に対して安全に動作する検証</t>
    <rPh sb="0" eb="2">
      <t>ソウテイ</t>
    </rPh>
    <rPh sb="2" eb="3">
      <t>ガイ</t>
    </rPh>
    <rPh sb="4" eb="6">
      <t>イジョウ</t>
    </rPh>
    <rPh sb="6" eb="8">
      <t>ジョウタイ</t>
    </rPh>
    <rPh sb="9" eb="10">
      <t>タイ</t>
    </rPh>
    <rPh sb="12" eb="14">
      <t>アンゼン</t>
    </rPh>
    <rPh sb="15" eb="17">
      <t>ドウサ</t>
    </rPh>
    <rPh sb="19" eb="21">
      <t>ケンショウ</t>
    </rPh>
    <phoneticPr fontId="4"/>
  </si>
  <si>
    <t>対策方針・内容・対策否の場合の理由</t>
    <rPh sb="0" eb="2">
      <t>タイサク</t>
    </rPh>
    <rPh sb="2" eb="4">
      <t>ホウシン</t>
    </rPh>
    <rPh sb="5" eb="7">
      <t>ナイヨウ</t>
    </rPh>
    <rPh sb="8" eb="10">
      <t>タイサク</t>
    </rPh>
    <rPh sb="10" eb="11">
      <t>ヒ</t>
    </rPh>
    <rPh sb="12" eb="14">
      <t>バアイ</t>
    </rPh>
    <rPh sb="15" eb="17">
      <t>リユウ</t>
    </rPh>
    <phoneticPr fontId="4"/>
  </si>
  <si>
    <t>基本設計</t>
    <rPh sb="0" eb="2">
      <t>キホン</t>
    </rPh>
    <phoneticPr fontId="4"/>
  </si>
  <si>
    <t>詳細設計</t>
    <rPh sb="0" eb="2">
      <t>ショウサイ</t>
    </rPh>
    <rPh sb="2" eb="4">
      <t>セッケイ</t>
    </rPh>
    <phoneticPr fontId="4"/>
  </si>
  <si>
    <t>単体テスト設計</t>
    <rPh sb="0" eb="2">
      <t>タンタイ</t>
    </rPh>
    <rPh sb="5" eb="7">
      <t>セッケイ</t>
    </rPh>
    <phoneticPr fontId="4"/>
  </si>
  <si>
    <t>結合テスト設計</t>
    <rPh sb="0" eb="2">
      <t>ケツゴウ</t>
    </rPh>
    <rPh sb="5" eb="7">
      <t>セッケイ</t>
    </rPh>
    <phoneticPr fontId="4"/>
  </si>
  <si>
    <t>外部テスト設計</t>
    <rPh sb="0" eb="2">
      <t>ガイブ</t>
    </rPh>
    <rPh sb="5" eb="7">
      <t>セッケイ</t>
    </rPh>
    <phoneticPr fontId="4"/>
  </si>
  <si>
    <t>単体テスト実施</t>
    <rPh sb="0" eb="2">
      <t>タンタイ</t>
    </rPh>
    <rPh sb="5" eb="7">
      <t>ジッシ</t>
    </rPh>
    <phoneticPr fontId="4"/>
  </si>
  <si>
    <t>結合テスト実施</t>
    <rPh sb="0" eb="2">
      <t>ケツゴウ</t>
    </rPh>
    <rPh sb="5" eb="7">
      <t>ジッシ</t>
    </rPh>
    <phoneticPr fontId="4"/>
  </si>
  <si>
    <t>外部テスト実施</t>
    <rPh sb="0" eb="2">
      <t>ガイブ</t>
    </rPh>
    <rPh sb="5" eb="7">
      <t>ジッシ</t>
    </rPh>
    <phoneticPr fontId="4"/>
  </si>
  <si>
    <t>基本設計</t>
    <rPh sb="0" eb="2">
      <t>キホン</t>
    </rPh>
    <rPh sb="2" eb="4">
      <t>セッケイ</t>
    </rPh>
    <phoneticPr fontId="4"/>
  </si>
  <si>
    <t>未記入警告（必須記入項目）</t>
    <rPh sb="0" eb="1">
      <t>ミ</t>
    </rPh>
    <rPh sb="1" eb="3">
      <t>キニュウ</t>
    </rPh>
    <rPh sb="3" eb="5">
      <t>ケイコク</t>
    </rPh>
    <rPh sb="6" eb="8">
      <t>ヒッス</t>
    </rPh>
    <rPh sb="8" eb="10">
      <t>キニュウ</t>
    </rPh>
    <rPh sb="10" eb="12">
      <t>コウモク</t>
    </rPh>
    <phoneticPr fontId="4"/>
  </si>
  <si>
    <t>技術課題・心配点</t>
    <rPh sb="0" eb="2">
      <t>ギジュツ</t>
    </rPh>
    <rPh sb="2" eb="4">
      <t>カダイ</t>
    </rPh>
    <rPh sb="5" eb="7">
      <t>シンパイ</t>
    </rPh>
    <rPh sb="7" eb="8">
      <t>テン</t>
    </rPh>
    <phoneticPr fontId="4"/>
  </si>
  <si>
    <t>構成管理</t>
    <rPh sb="0" eb="2">
      <t>コウセイ</t>
    </rPh>
    <rPh sb="2" eb="4">
      <t>カンリ</t>
    </rPh>
    <phoneticPr fontId="4"/>
  </si>
  <si>
    <t>機能
/アイテム</t>
    <rPh sb="0" eb="2">
      <t>キノウ</t>
    </rPh>
    <phoneticPr fontId="4"/>
  </si>
  <si>
    <t>設計方針の定義</t>
  </si>
  <si>
    <t>コーディング</t>
  </si>
  <si>
    <t>構成管理不良</t>
  </si>
  <si>
    <t>テスト方針の定義</t>
  </si>
  <si>
    <t>機能</t>
    <rPh sb="0" eb="2">
      <t>キノウ</t>
    </rPh>
    <phoneticPr fontId="4"/>
  </si>
  <si>
    <t>～ 帳票テンプレート変更履歴 ～</t>
    <rPh sb="2" eb="4">
      <t>チョウヒョウ</t>
    </rPh>
    <phoneticPr fontId="4"/>
  </si>
  <si>
    <t>Version</t>
  </si>
  <si>
    <t>Ａ</t>
    <phoneticPr fontId="4"/>
  </si>
  <si>
    <t>Ｂ</t>
    <phoneticPr fontId="4"/>
  </si>
  <si>
    <t>トレーサビリティ</t>
    <phoneticPr fontId="4"/>
  </si>
  <si>
    <t>Ｃ</t>
    <phoneticPr fontId="4"/>
  </si>
  <si>
    <t>Ｄ</t>
    <phoneticPr fontId="4"/>
  </si>
  <si>
    <t>Ｅ</t>
    <phoneticPr fontId="4"/>
  </si>
  <si>
    <t>Ｆ</t>
    <phoneticPr fontId="4"/>
  </si>
  <si>
    <t>明示的な条件の下で、使用する資源の量に対比して適切な性能を提供する能力</t>
    <phoneticPr fontId="4"/>
  </si>
  <si>
    <t xml:space="preserve">分かりやすさ、使いやすさの度合い
</t>
    <phoneticPr fontId="4"/>
  </si>
  <si>
    <t>修正のしやすさに関する能力。</t>
    <phoneticPr fontId="4"/>
  </si>
  <si>
    <t>指摘事項が対策された作業成果物がレポジトリに格納されている</t>
    <phoneticPr fontId="4"/>
  </si>
  <si>
    <t>ｽﾃｰﾀｽ</t>
    <phoneticPr fontId="4"/>
  </si>
  <si>
    <t>ＩＤ</t>
    <phoneticPr fontId="4"/>
  </si>
  <si>
    <t>シートへのリンク</t>
    <phoneticPr fontId="4"/>
  </si>
  <si>
    <t>No</t>
    <phoneticPr fontId="4"/>
  </si>
  <si>
    <t>ファイルへのリンク</t>
    <phoneticPr fontId="4"/>
  </si>
  <si>
    <t>リンク</t>
    <phoneticPr fontId="4"/>
  </si>
  <si>
    <t>ピアレビュー記録</t>
    <rPh sb="6" eb="8">
      <t>キロク</t>
    </rPh>
    <phoneticPr fontId="5"/>
  </si>
  <si>
    <t>ピアレビュー管理表</t>
    <rPh sb="6" eb="8">
      <t>カンリ</t>
    </rPh>
    <rPh sb="8" eb="9">
      <t>ヒョウ</t>
    </rPh>
    <phoneticPr fontId="4"/>
  </si>
  <si>
    <t>ピアレビュー管理表運用マニュアル</t>
    <rPh sb="9" eb="11">
      <t>ウンヨウ</t>
    </rPh>
    <phoneticPr fontId="4"/>
  </si>
  <si>
    <t>レビューア確認</t>
    <rPh sb="5" eb="7">
      <t>カクニン</t>
    </rPh>
    <phoneticPr fontId="4"/>
  </si>
  <si>
    <t>開発対象の位置付けと役割の定義</t>
  </si>
  <si>
    <t>機能一覧の定義</t>
  </si>
  <si>
    <t>妥当性を確認するテストケースの定義</t>
  </si>
  <si>
    <t>例外条件の定義</t>
  </si>
  <si>
    <t>テスト終了判定基準の定義</t>
  </si>
  <si>
    <t>資源条件の定義</t>
  </si>
  <si>
    <t>拡張の方向性の定義</t>
  </si>
  <si>
    <t>提案・要望</t>
    <phoneticPr fontId="4"/>
  </si>
  <si>
    <t>プロセスの逸脱</t>
    <phoneticPr fontId="4"/>
  </si>
  <si>
    <t>冗長</t>
    <phoneticPr fontId="4"/>
  </si>
  <si>
    <t>可読性</t>
    <phoneticPr fontId="4"/>
  </si>
  <si>
    <t>指摘
件数</t>
    <rPh sb="0" eb="2">
      <t>シテキ</t>
    </rPh>
    <rPh sb="3" eb="5">
      <t>ケンスウ</t>
    </rPh>
    <phoneticPr fontId="4"/>
  </si>
  <si>
    <t>総指摘件数</t>
    <phoneticPr fontId="4"/>
  </si>
  <si>
    <t>重大度</t>
    <rPh sb="0" eb="2">
      <t>ジュウダイ</t>
    </rPh>
    <rPh sb="2" eb="3">
      <t>ド</t>
    </rPh>
    <phoneticPr fontId="4"/>
  </si>
  <si>
    <t>トレーサビリティの確立</t>
  </si>
  <si>
    <t>柏原</t>
    <rPh sb="0" eb="2">
      <t>カシワバラ</t>
    </rPh>
    <phoneticPr fontId="4"/>
  </si>
  <si>
    <t>製作</t>
  </si>
  <si>
    <t>要求定義</t>
    <rPh sb="0" eb="2">
      <t>ヨウキュウ</t>
    </rPh>
    <rPh sb="2" eb="4">
      <t>テイギ</t>
    </rPh>
    <phoneticPr fontId="4"/>
  </si>
  <si>
    <t>変更ＩＤ</t>
    <rPh sb="0" eb="2">
      <t>ヘンコウ</t>
    </rPh>
    <phoneticPr fontId="4"/>
  </si>
  <si>
    <t>計画・実績</t>
    <phoneticPr fontId="4"/>
  </si>
  <si>
    <t>実績
指摘件数</t>
    <rPh sb="0" eb="2">
      <t>ジッセキ</t>
    </rPh>
    <rPh sb="3" eb="5">
      <t>シテキ</t>
    </rPh>
    <rPh sb="5" eb="7">
      <t>ケンスウ</t>
    </rPh>
    <phoneticPr fontId="4"/>
  </si>
  <si>
    <t>合計</t>
    <rPh sb="0" eb="2">
      <t>ゴウケイ</t>
    </rPh>
    <phoneticPr fontId="4"/>
  </si>
  <si>
    <t>目標
摘出件数</t>
    <phoneticPr fontId="4"/>
  </si>
  <si>
    <t>基本設計</t>
    <phoneticPr fontId="4"/>
  </si>
  <si>
    <t>詳細設計</t>
    <phoneticPr fontId="4"/>
  </si>
  <si>
    <t>製作</t>
    <phoneticPr fontId="4"/>
  </si>
  <si>
    <t>単体テスト設計</t>
    <phoneticPr fontId="4"/>
  </si>
  <si>
    <t>単体テスト実施</t>
    <phoneticPr fontId="4"/>
  </si>
  <si>
    <t>結合テスト設計</t>
    <phoneticPr fontId="4"/>
  </si>
  <si>
    <t>結合テスト実施</t>
    <phoneticPr fontId="4"/>
  </si>
  <si>
    <t>外部テスト設計</t>
    <phoneticPr fontId="4"/>
  </si>
  <si>
    <t>外部テスト実施</t>
    <phoneticPr fontId="4"/>
  </si>
  <si>
    <t>工程</t>
    <phoneticPr fontId="4"/>
  </si>
  <si>
    <t>想定
混入件数</t>
    <phoneticPr fontId="4"/>
  </si>
  <si>
    <t>本集計シートは、ピアレビューで検出した不具合の情報を集計するものである。</t>
    <rPh sb="0" eb="1">
      <t>ホン</t>
    </rPh>
    <rPh sb="1" eb="3">
      <t>シュウケイ</t>
    </rPh>
    <rPh sb="15" eb="17">
      <t>ケンシュツ</t>
    </rPh>
    <rPh sb="19" eb="22">
      <t>フグアイ</t>
    </rPh>
    <rPh sb="23" eb="25">
      <t>ジョウホウ</t>
    </rPh>
    <rPh sb="26" eb="28">
      <t>シュウケイ</t>
    </rPh>
    <phoneticPr fontId="4"/>
  </si>
  <si>
    <t>・エンジニアリングプロセスの変更に合わせて、影響箇所修正
・表のタイトル文字列を変更
・欠陥種別を各プロセスのアクティビティに合わせた</t>
    <rPh sb="14" eb="16">
      <t>ヘンコウ</t>
    </rPh>
    <rPh sb="17" eb="18">
      <t>ア</t>
    </rPh>
    <rPh sb="22" eb="24">
      <t>エイキョウ</t>
    </rPh>
    <rPh sb="24" eb="26">
      <t>カショ</t>
    </rPh>
    <rPh sb="26" eb="28">
      <t>シュウセイ</t>
    </rPh>
    <phoneticPr fontId="4"/>
  </si>
  <si>
    <t>マニュアル</t>
    <phoneticPr fontId="4"/>
  </si>
  <si>
    <t>2.01</t>
    <phoneticPr fontId="4"/>
  </si>
  <si>
    <t>西門</t>
    <rPh sb="0" eb="1">
      <t>ニシ</t>
    </rPh>
    <rPh sb="1" eb="2">
      <t>カド</t>
    </rPh>
    <phoneticPr fontId="4"/>
  </si>
  <si>
    <t>シートの書式を修正</t>
    <rPh sb="4" eb="6">
      <t>ショシキ</t>
    </rPh>
    <rPh sb="7" eb="9">
      <t>シュウセイ</t>
    </rPh>
    <phoneticPr fontId="4"/>
  </si>
  <si>
    <t>1.00</t>
    <phoneticPr fontId="4"/>
  </si>
  <si>
    <t>1.01</t>
    <phoneticPr fontId="4"/>
  </si>
  <si>
    <t>①DR品質の計画値・実績値の入力欄を追加（R6～V16）
②集計の下記情報欄を追加
　・予想DR時間(H)：新規追加。成果量とDR品質計画から自動算出
　・予想不具合件数(件)：変更。成果量とDR品質計画から自動算出
　・DR工数品質（件/DR時間）：新規追加。DR実績から自動算出
　・DR成果品質(件/成果量)：新規追加。DR実績から自動算出</t>
    <rPh sb="3" eb="5">
      <t>ヒンシツ</t>
    </rPh>
    <rPh sb="6" eb="8">
      <t>ケイカク</t>
    </rPh>
    <rPh sb="8" eb="9">
      <t>チ</t>
    </rPh>
    <rPh sb="10" eb="13">
      <t>ジッセキチ</t>
    </rPh>
    <rPh sb="14" eb="16">
      <t>ニュウリョク</t>
    </rPh>
    <rPh sb="16" eb="17">
      <t>ラン</t>
    </rPh>
    <rPh sb="18" eb="20">
      <t>ツイカ</t>
    </rPh>
    <rPh sb="30" eb="32">
      <t>シュウケイ</t>
    </rPh>
    <rPh sb="33" eb="35">
      <t>カキ</t>
    </rPh>
    <rPh sb="35" eb="37">
      <t>ジョウホウ</t>
    </rPh>
    <rPh sb="37" eb="38">
      <t>ラン</t>
    </rPh>
    <rPh sb="39" eb="41">
      <t>ツイカ</t>
    </rPh>
    <rPh sb="54" eb="56">
      <t>シンキ</t>
    </rPh>
    <rPh sb="56" eb="58">
      <t>ツイカ</t>
    </rPh>
    <rPh sb="59" eb="61">
      <t>セイカ</t>
    </rPh>
    <rPh sb="61" eb="62">
      <t>リョウ</t>
    </rPh>
    <rPh sb="65" eb="67">
      <t>ヒンシツ</t>
    </rPh>
    <rPh sb="67" eb="69">
      <t>ケイカク</t>
    </rPh>
    <rPh sb="71" eb="73">
      <t>ジドウ</t>
    </rPh>
    <rPh sb="73" eb="75">
      <t>サンシュツ</t>
    </rPh>
    <rPh sb="89" eb="91">
      <t>ヘンコウ</t>
    </rPh>
    <rPh sb="126" eb="128">
      <t>シンキ</t>
    </rPh>
    <rPh sb="128" eb="130">
      <t>ツイカ</t>
    </rPh>
    <rPh sb="133" eb="135">
      <t>ジッセキ</t>
    </rPh>
    <rPh sb="137" eb="139">
      <t>ジドウ</t>
    </rPh>
    <rPh sb="139" eb="141">
      <t>サンシュツ</t>
    </rPh>
    <phoneticPr fontId="4"/>
  </si>
  <si>
    <t>・設計品質レビューの議事録テンプレートで、判断結果の記録の記入方法のバラつきを抑制するため。</t>
    <phoneticPr fontId="4"/>
  </si>
  <si>
    <t>2.00</t>
    <phoneticPr fontId="4"/>
  </si>
  <si>
    <t>＜記録シート＞
・■レビュー計画に、識者の記入欄を追加
・数式が消えているセルの修正
・■終了条件　識者参加の確認を追加
＜マニュアル＞
　選択肢定義の基本定義を推奨とした。</t>
    <rPh sb="14" eb="16">
      <t>ケイカク</t>
    </rPh>
    <rPh sb="18" eb="20">
      <t>シキシャ</t>
    </rPh>
    <rPh sb="21" eb="23">
      <t>キニュウ</t>
    </rPh>
    <rPh sb="23" eb="24">
      <t>ラン</t>
    </rPh>
    <rPh sb="25" eb="27">
      <t>ツイカ</t>
    </rPh>
    <rPh sb="29" eb="31">
      <t>スウシキ</t>
    </rPh>
    <rPh sb="32" eb="33">
      <t>キ</t>
    </rPh>
    <rPh sb="40" eb="42">
      <t>シュウセイ</t>
    </rPh>
    <rPh sb="45" eb="47">
      <t>シュウリョウ</t>
    </rPh>
    <rPh sb="47" eb="49">
      <t>ジョウケン</t>
    </rPh>
    <rPh sb="50" eb="52">
      <t>シキシャ</t>
    </rPh>
    <rPh sb="52" eb="54">
      <t>サンカ</t>
    </rPh>
    <rPh sb="55" eb="57">
      <t>カクニン</t>
    </rPh>
    <rPh sb="58" eb="60">
      <t>ツイカ</t>
    </rPh>
    <rPh sb="70" eb="73">
      <t>センタクシ</t>
    </rPh>
    <rPh sb="73" eb="75">
      <t>テイギ</t>
    </rPh>
    <rPh sb="76" eb="78">
      <t>キホン</t>
    </rPh>
    <rPh sb="78" eb="80">
      <t>テイギ</t>
    </rPh>
    <rPh sb="81" eb="83">
      <t>スイショウ</t>
    </rPh>
    <phoneticPr fontId="4"/>
  </si>
  <si>
    <t>総不具合件数</t>
    <rPh sb="0" eb="1">
      <t>ソウ</t>
    </rPh>
    <rPh sb="4" eb="6">
      <t>ケンスウ</t>
    </rPh>
    <phoneticPr fontId="4"/>
  </si>
  <si>
    <t>不具合数の計画・実績</t>
    <rPh sb="3" eb="4">
      <t>スウ</t>
    </rPh>
    <rPh sb="5" eb="7">
      <t>ケイカク</t>
    </rPh>
    <rPh sb="8" eb="10">
      <t>ジッセキ</t>
    </rPh>
    <phoneticPr fontId="4"/>
  </si>
  <si>
    <t>不具合
件数</t>
    <rPh sb="4" eb="6">
      <t>ケンスウ</t>
    </rPh>
    <phoneticPr fontId="4"/>
  </si>
  <si>
    <t>実績
不具合件数</t>
    <rPh sb="0" eb="2">
      <t>ジッセキ</t>
    </rPh>
    <phoneticPr fontId="4"/>
  </si>
  <si>
    <t>■不具合・指摘件数</t>
    <rPh sb="5" eb="7">
      <t>シテキ</t>
    </rPh>
    <rPh sb="7" eb="9">
      <t>ケンスウ</t>
    </rPh>
    <phoneticPr fontId="4"/>
  </si>
  <si>
    <t>不具合・指摘内容</t>
  </si>
  <si>
    <t>不具合
種別</t>
    <rPh sb="4" eb="6">
      <t>シュベツ</t>
    </rPh>
    <phoneticPr fontId="4"/>
  </si>
  <si>
    <t>不具合・指摘内容</t>
    <rPh sb="4" eb="6">
      <t>シテキ</t>
    </rPh>
    <rPh sb="6" eb="8">
      <t>ナイヨウ</t>
    </rPh>
    <phoneticPr fontId="4"/>
  </si>
  <si>
    <t>不具合種別</t>
    <rPh sb="3" eb="5">
      <t>シュベツ</t>
    </rPh>
    <phoneticPr fontId="4"/>
  </si>
  <si>
    <t>・各シートの「欠陥」の表記を「不具合」に修正</t>
    <rPh sb="1" eb="2">
      <t>カク</t>
    </rPh>
    <rPh sb="7" eb="9">
      <t>ケッカン</t>
    </rPh>
    <rPh sb="11" eb="13">
      <t>ヒョウキ</t>
    </rPh>
    <rPh sb="15" eb="18">
      <t>フグアイ</t>
    </rPh>
    <rPh sb="20" eb="22">
      <t>シュウセイ</t>
    </rPh>
    <phoneticPr fontId="4"/>
  </si>
  <si>
    <t>・OSSPの文書化要件を逸脱していたため</t>
    <rPh sb="6" eb="9">
      <t>ブンショカ</t>
    </rPh>
    <rPh sb="9" eb="11">
      <t>ヨウケン</t>
    </rPh>
    <rPh sb="12" eb="14">
      <t>イツダツ</t>
    </rPh>
    <phoneticPr fontId="4"/>
  </si>
  <si>
    <t>-</t>
    <phoneticPr fontId="4"/>
  </si>
  <si>
    <t>・OSSPの定義と合っていなかったため</t>
    <rPh sb="6" eb="8">
      <t>テイギ</t>
    </rPh>
    <rPh sb="9" eb="10">
      <t>ア</t>
    </rPh>
    <phoneticPr fontId="4"/>
  </si>
  <si>
    <t>■レビュー計画・実績</t>
    <rPh sb="5" eb="7">
      <t>ケイカク</t>
    </rPh>
    <rPh sb="8" eb="10">
      <t>ジッセキ</t>
    </rPh>
    <phoneticPr fontId="4"/>
  </si>
  <si>
    <t>種別</t>
    <rPh sb="0" eb="2">
      <t>シュベツ</t>
    </rPh>
    <phoneticPr fontId="4"/>
  </si>
  <si>
    <t>竹村</t>
    <rPh sb="0" eb="2">
      <t>タケムラ</t>
    </rPh>
    <phoneticPr fontId="4"/>
  </si>
  <si>
    <t>・レビュー終了基準を修正</t>
    <rPh sb="5" eb="7">
      <t>シュウリョウ</t>
    </rPh>
    <rPh sb="7" eb="9">
      <t>キジュン</t>
    </rPh>
    <rPh sb="10" eb="12">
      <t>シュウセイ</t>
    </rPh>
    <phoneticPr fontId="4"/>
  </si>
  <si>
    <t>・OSSPの記述と統一するため</t>
    <rPh sb="6" eb="8">
      <t>キジュツ</t>
    </rPh>
    <rPh sb="9" eb="11">
      <t>トウイツ</t>
    </rPh>
    <phoneticPr fontId="4"/>
  </si>
  <si>
    <t>・OSSP Ver4.00対応
・「不具合」「欠陥」「指摘」という用語を明確に区別した
・不具合の原因アクティビティを特定できるよう欠陥種別を見直した</t>
    <phoneticPr fontId="4"/>
  </si>
  <si>
    <t>・OSSP Ver4.10対応</t>
    <phoneticPr fontId="4"/>
  </si>
  <si>
    <t>・欠陥種別を各プロセスのアクティビティに合わせて修正</t>
    <rPh sb="24" eb="26">
      <t>シュウセイ</t>
    </rPh>
    <phoneticPr fontId="4"/>
  </si>
  <si>
    <t>・「マニュアル」シート　２．前提ルール
　ルール⑤を追加</t>
    <phoneticPr fontId="4"/>
  </si>
  <si>
    <t>・制約条件の明確化</t>
    <phoneticPr fontId="4"/>
  </si>
  <si>
    <t>不具合種別</t>
    <rPh sb="0" eb="3">
      <t>フグアイ</t>
    </rPh>
    <rPh sb="3" eb="5">
      <t>シュベツ</t>
    </rPh>
    <phoneticPr fontId="4"/>
  </si>
  <si>
    <t>基本設計</t>
  </si>
  <si>
    <t>コンポーネントのインターフェース仕様の定義</t>
  </si>
  <si>
    <t>コンポーネントの動的な振る舞いの定義</t>
  </si>
  <si>
    <t>ユニット構成の定義</t>
  </si>
  <si>
    <t>ユニットのインターフェース仕様の定義</t>
  </si>
  <si>
    <t>ユニットの動的な振る舞いの定義</t>
  </si>
  <si>
    <t>詳細設計</t>
  </si>
  <si>
    <t>データ構造の定義</t>
  </si>
  <si>
    <t>関数の処理の流れの定義</t>
  </si>
  <si>
    <t>不具合傾向分析用データ</t>
    <rPh sb="0" eb="3">
      <t>フグアイ</t>
    </rPh>
    <phoneticPr fontId="4"/>
  </si>
  <si>
    <t>要求定義</t>
    <phoneticPr fontId="4"/>
  </si>
  <si>
    <t>開発目的の定義</t>
  </si>
  <si>
    <t>要求機能の定義</t>
  </si>
  <si>
    <t>要求範囲の定義</t>
  </si>
  <si>
    <t>性能条件の定義</t>
  </si>
  <si>
    <t>開発方法条件の定義</t>
  </si>
  <si>
    <t>開発環境の定義</t>
  </si>
  <si>
    <t>不具合数</t>
    <phoneticPr fontId="4"/>
  </si>
  <si>
    <t>単体テスト設計</t>
    <phoneticPr fontId="4"/>
  </si>
  <si>
    <t>単体テスト実施</t>
    <phoneticPr fontId="4"/>
  </si>
  <si>
    <t>結合テスト設計</t>
    <phoneticPr fontId="4"/>
  </si>
  <si>
    <t>結合テスト実施</t>
    <phoneticPr fontId="4"/>
  </si>
  <si>
    <t>外部テスト設計</t>
    <phoneticPr fontId="4"/>
  </si>
  <si>
    <t>外部テスト実施</t>
    <phoneticPr fontId="4"/>
  </si>
  <si>
    <t>管理表へ</t>
    <phoneticPr fontId="4"/>
  </si>
  <si>
    <t>■ステータス</t>
    <phoneticPr fontId="4"/>
  </si>
  <si>
    <t>不具合</t>
    <phoneticPr fontId="4"/>
  </si>
  <si>
    <t>①</t>
    <phoneticPr fontId="4"/>
  </si>
  <si>
    <t>②</t>
    <phoneticPr fontId="4"/>
  </si>
  <si>
    <t>③</t>
    <phoneticPr fontId="4"/>
  </si>
  <si>
    <t>④</t>
    <phoneticPr fontId="4"/>
  </si>
  <si>
    <t>⑤</t>
    <phoneticPr fontId="4"/>
  </si>
  <si>
    <t>No.</t>
    <phoneticPr fontId="4"/>
  </si>
  <si>
    <t>①</t>
    <phoneticPr fontId="4"/>
  </si>
  <si>
    <t>②</t>
    <phoneticPr fontId="4"/>
  </si>
  <si>
    <t>③</t>
    <phoneticPr fontId="4"/>
  </si>
  <si>
    <t>セルフチェック</t>
    <phoneticPr fontId="4"/>
  </si>
  <si>
    <t>ヘッダ</t>
    <phoneticPr fontId="4"/>
  </si>
  <si>
    <t>・ユーザビリティの向上</t>
    <rPh sb="9" eb="11">
      <t>コウジョウ</t>
    </rPh>
    <phoneticPr fontId="4"/>
  </si>
  <si>
    <t>・「集計結果」シート
　不具合種別の集計結果を出力する機能を追加</t>
    <rPh sb="12" eb="15">
      <t>フグアイ</t>
    </rPh>
    <rPh sb="15" eb="17">
      <t>シュベツ</t>
    </rPh>
    <rPh sb="18" eb="20">
      <t>シュウケイ</t>
    </rPh>
    <rPh sb="20" eb="22">
      <t>ケッカ</t>
    </rPh>
    <rPh sb="23" eb="25">
      <t>シュツリョク</t>
    </rPh>
    <rPh sb="27" eb="29">
      <t>キノウ</t>
    </rPh>
    <rPh sb="30" eb="32">
      <t>ツイカ</t>
    </rPh>
    <phoneticPr fontId="4"/>
  </si>
  <si>
    <t>・成果物要件の変更に追従</t>
    <rPh sb="1" eb="4">
      <t>セイカブツ</t>
    </rPh>
    <rPh sb="4" eb="6">
      <t>ヨウケン</t>
    </rPh>
    <rPh sb="7" eb="9">
      <t>ヘンコウ</t>
    </rPh>
    <rPh sb="10" eb="12">
      <t>ツイジュウ</t>
    </rPh>
    <phoneticPr fontId="4"/>
  </si>
  <si>
    <t>指摘者</t>
    <rPh sb="0" eb="2">
      <t>シテキ</t>
    </rPh>
    <rPh sb="2" eb="3">
      <t>シャ</t>
    </rPh>
    <phoneticPr fontId="4"/>
  </si>
  <si>
    <t>原則、変更不可です。</t>
    <rPh sb="0" eb="2">
      <t>ゲンソク</t>
    </rPh>
    <rPh sb="3" eb="5">
      <t>ヘンコウ</t>
    </rPh>
    <rPh sb="5" eb="7">
      <t>フカ</t>
    </rPh>
    <phoneticPr fontId="4"/>
  </si>
  <si>
    <t>プロジェクトにあわせて、記入</t>
    <rPh sb="12" eb="14">
      <t>キニュウ</t>
    </rPh>
    <phoneticPr fontId="4"/>
  </si>
  <si>
    <t>・以下の項目を「未記入警告（必須記入項目）」から任意記入に変更
　「レビュー管理」シート　成果物担当、想定混入件数
　「記録#1」「記録#TMP」シート　実績成果量、継続/終了</t>
    <phoneticPr fontId="4"/>
  </si>
  <si>
    <t>・「未記入警告（必須記入項目）」セル変更に伴い、「記録#1」「記録#TMP」シートの下記項目の数式を変更
　警告（55行目）
　■レビュー計画・実績　警告
　■処置状況　警告（J7セル）</t>
    <phoneticPr fontId="4"/>
  </si>
  <si>
    <t>・「記録#1」「記録#TMP」シートの以下項目を「未記入警告（必須記入項目）」に変更
　実績日付
　計画レビューア、（参加者）,★識者
　実績レビューア、（参加者）,★識者
　形式
　対策方針・内容・対策否の場合の理由</t>
    <phoneticPr fontId="4"/>
  </si>
  <si>
    <t>・「記録#1」シート　■対象成果物　警告
　成果物要件変更に伴い「実績成果量」が不要になったため削除　</t>
    <rPh sb="40" eb="42">
      <t>フヨウ</t>
    </rPh>
    <phoneticPr fontId="4"/>
  </si>
  <si>
    <t>・「表紙」シート
　書式を修正</t>
    <rPh sb="2" eb="4">
      <t>ヒョウシ</t>
    </rPh>
    <rPh sb="10" eb="12">
      <t>ショシキ</t>
    </rPh>
    <rPh sb="13" eb="15">
      <t>シュウセイ</t>
    </rPh>
    <phoneticPr fontId="4"/>
  </si>
  <si>
    <t>・他帳票と整合をとるため</t>
    <rPh sb="1" eb="2">
      <t>ホカ</t>
    </rPh>
    <rPh sb="2" eb="4">
      <t>チョウヒョウ</t>
    </rPh>
    <rPh sb="5" eb="7">
      <t>セイゴウ</t>
    </rPh>
    <phoneticPr fontId="4"/>
  </si>
  <si>
    <t>・「選択肢定義」シート
　セル色・凡例の記述内容を修正</t>
    <rPh sb="15" eb="16">
      <t>イロ</t>
    </rPh>
    <rPh sb="17" eb="19">
      <t>ハンレイ</t>
    </rPh>
    <rPh sb="20" eb="22">
      <t>キジュツ</t>
    </rPh>
    <rPh sb="22" eb="24">
      <t>ナイヨウ</t>
    </rPh>
    <rPh sb="25" eb="27">
      <t>シュウセイ</t>
    </rPh>
    <phoneticPr fontId="4"/>
  </si>
  <si>
    <t>・「レビュー管理」シート　対象/免除列
　初期状態を「○」に変更</t>
    <rPh sb="18" eb="19">
      <t>レツ</t>
    </rPh>
    <rPh sb="21" eb="23">
      <t>ショキ</t>
    </rPh>
    <rPh sb="23" eb="25">
      <t>ジョウタイ</t>
    </rPh>
    <rPh sb="30" eb="32">
      <t>ヘンコウ</t>
    </rPh>
    <phoneticPr fontId="4"/>
  </si>
  <si>
    <t>レビュー観点の技術課題・心配点に、”新規点・変化点の機能への影響の検証”を追加。</t>
    <rPh sb="4" eb="6">
      <t>カンテン</t>
    </rPh>
    <rPh sb="7" eb="9">
      <t>ギジュツ</t>
    </rPh>
    <rPh sb="9" eb="11">
      <t>カダイ</t>
    </rPh>
    <rPh sb="12" eb="14">
      <t>シンパイ</t>
    </rPh>
    <rPh sb="14" eb="15">
      <t>テン</t>
    </rPh>
    <rPh sb="18" eb="20">
      <t>シンキ</t>
    </rPh>
    <rPh sb="20" eb="21">
      <t>テン</t>
    </rPh>
    <rPh sb="22" eb="24">
      <t>ヘンカ</t>
    </rPh>
    <rPh sb="24" eb="25">
      <t>テン</t>
    </rPh>
    <rPh sb="26" eb="28">
      <t>キノウ</t>
    </rPh>
    <rPh sb="30" eb="32">
      <t>エイキョウ</t>
    </rPh>
    <rPh sb="33" eb="35">
      <t>ケンショウ</t>
    </rPh>
    <rPh sb="37" eb="39">
      <t>ツイカ</t>
    </rPh>
    <phoneticPr fontId="4"/>
  </si>
  <si>
    <t>変化点レビュー色を強調(0905対応）</t>
    <rPh sb="16" eb="18">
      <t>タイオウ</t>
    </rPh>
    <phoneticPr fontId="4"/>
  </si>
  <si>
    <t>対策結果</t>
    <rPh sb="0" eb="2">
      <t>タイサク</t>
    </rPh>
    <rPh sb="2" eb="4">
      <t>ケッカ</t>
    </rPh>
    <phoneticPr fontId="4"/>
  </si>
  <si>
    <t>・「記録#1」「記録#TMP」シート
　「検出者」を「指摘者」に変更</t>
    <phoneticPr fontId="4"/>
  </si>
  <si>
    <t>・「記録#1」「記録#TMP」シート
　対策実績欄に対応結果欄を追加した</t>
    <rPh sb="20" eb="22">
      <t>タイサク</t>
    </rPh>
    <rPh sb="22" eb="24">
      <t>ジッセキ</t>
    </rPh>
    <rPh sb="24" eb="25">
      <t>ラン</t>
    </rPh>
    <rPh sb="26" eb="28">
      <t>タイオウ</t>
    </rPh>
    <rPh sb="28" eb="30">
      <t>ケッカ</t>
    </rPh>
    <rPh sb="30" eb="31">
      <t>ラン</t>
    </rPh>
    <rPh sb="32" eb="34">
      <t>ツイカ</t>
    </rPh>
    <phoneticPr fontId="4"/>
  </si>
  <si>
    <t>レビュー対象Ver</t>
    <rPh sb="4" eb="6">
      <t>タイショウ</t>
    </rPh>
    <phoneticPr fontId="4"/>
  </si>
  <si>
    <t>修正後Ver</t>
    <rPh sb="0" eb="2">
      <t>シュウセイ</t>
    </rPh>
    <rPh sb="2" eb="3">
      <t>ゴ</t>
    </rPh>
    <phoneticPr fontId="4"/>
  </si>
  <si>
    <t>・ユーザビリティの向上</t>
    <phoneticPr fontId="4"/>
  </si>
  <si>
    <t>・書式不具合の修正</t>
    <rPh sb="1" eb="3">
      <t>ショシキ</t>
    </rPh>
    <rPh sb="3" eb="6">
      <t>フグアイ</t>
    </rPh>
    <rPh sb="7" eb="9">
      <t>シュウセイ</t>
    </rPh>
    <phoneticPr fontId="4"/>
  </si>
  <si>
    <t>・「記録#1」「記録#TMP」シート
　「要否」欄が「否/保留」の場合でも、「対策方針・内容・対策否の場合の理由」欄を記載できるように書式を修正。</t>
    <rPh sb="24" eb="25">
      <t>ラン</t>
    </rPh>
    <rPh sb="27" eb="28">
      <t>ヒ</t>
    </rPh>
    <rPh sb="29" eb="31">
      <t>ホリュウ</t>
    </rPh>
    <rPh sb="33" eb="35">
      <t>バアイ</t>
    </rPh>
    <rPh sb="57" eb="58">
      <t>ラン</t>
    </rPh>
    <rPh sb="59" eb="61">
      <t>キサイ</t>
    </rPh>
    <rPh sb="67" eb="69">
      <t>ショシキ</t>
    </rPh>
    <rPh sb="70" eb="72">
      <t>シュウセイ</t>
    </rPh>
    <phoneticPr fontId="4"/>
  </si>
  <si>
    <t>誤字・脱字</t>
    <phoneticPr fontId="4"/>
  </si>
  <si>
    <t>一貫性</t>
    <phoneticPr fontId="4"/>
  </si>
  <si>
    <t>環境依存</t>
    <phoneticPr fontId="4"/>
  </si>
  <si>
    <t>・誤記修正</t>
    <rPh sb="1" eb="3">
      <t>ゴキ</t>
    </rPh>
    <rPh sb="3" eb="5">
      <t>シュウセイ</t>
    </rPh>
    <phoneticPr fontId="4"/>
  </si>
  <si>
    <t>・「選択肢定義」シート
　指摘種別「一貫性存」を「一貫性」と「環境依存」に修正。</t>
    <rPh sb="13" eb="15">
      <t>シテキ</t>
    </rPh>
    <rPh sb="15" eb="17">
      <t>シュベツ</t>
    </rPh>
    <rPh sb="37" eb="39">
      <t>シュウセイ</t>
    </rPh>
    <phoneticPr fontId="4"/>
  </si>
  <si>
    <t>同一／類似不具合対策結果</t>
    <rPh sb="8" eb="10">
      <t>タイサク</t>
    </rPh>
    <phoneticPr fontId="4"/>
  </si>
  <si>
    <t>・プロセスに合わせて修正</t>
    <rPh sb="6" eb="7">
      <t>ア</t>
    </rPh>
    <rPh sb="10" eb="12">
      <t>シュウセイ</t>
    </rPh>
    <phoneticPr fontId="4"/>
  </si>
  <si>
    <t>動作環境の定義</t>
  </si>
  <si>
    <t>利用資源条件の定義</t>
  </si>
  <si>
    <t>技術課題の抽出と解決方針検討</t>
  </si>
  <si>
    <t>外部仕様の設計方針の定義</t>
  </si>
  <si>
    <t>外部インターフェースの定義</t>
  </si>
  <si>
    <t>機能の仕様の定義</t>
  </si>
  <si>
    <t>環境条件の定義</t>
  </si>
  <si>
    <t>コンポーネント構成の定義</t>
  </si>
  <si>
    <t>コンポーネント機能仕様の定義</t>
  </si>
  <si>
    <t>性能条件と資源条件への割り当て</t>
  </si>
  <si>
    <t>ユニット機能仕様の定義</t>
  </si>
  <si>
    <t>関数構成の定義</t>
  </si>
  <si>
    <t>関数仕様の定義</t>
  </si>
  <si>
    <t>プログラムの静的解析</t>
  </si>
  <si>
    <t>テスト環境の定義</t>
  </si>
  <si>
    <t>詳細設計の内容を検証するテストケースの定義</t>
  </si>
  <si>
    <t>過去トラの再発防止のテストケースの定義</t>
  </si>
  <si>
    <t>心配点を検証するテストケースの定義</t>
  </si>
  <si>
    <t>テスト対象とテスト環境の確認</t>
  </si>
  <si>
    <t>単体テストの実施</t>
  </si>
  <si>
    <t>単体テスト結果の判定</t>
  </si>
  <si>
    <t>基本設計の内容を検証するテストケースの定義</t>
  </si>
  <si>
    <t>ユニットの結合と確認</t>
  </si>
  <si>
    <t>結合テストの実施</t>
  </si>
  <si>
    <t>結合テスト結果の判定</t>
  </si>
  <si>
    <t>外部仕様の内容を検証するテストケースの定義</t>
  </si>
  <si>
    <t>外部テストの実施</t>
  </si>
  <si>
    <t>外部テスト結果の判定</t>
  </si>
  <si>
    <t>・「記録#1」「記録#TMP」シート
　レビュー確認観点を必須入力欄に変更
　「トレーサビリティ・マトリクス」を「トレーサビリティ記録シート」に変更
・「集計結果」「選択肢定義」シート
　OSSPに合わせて不具合種別を見直し</t>
    <rPh sb="24" eb="26">
      <t>カクニン</t>
    </rPh>
    <rPh sb="26" eb="28">
      <t>カンテン</t>
    </rPh>
    <rPh sb="29" eb="31">
      <t>ヒッス</t>
    </rPh>
    <rPh sb="31" eb="33">
      <t>ニュウリョク</t>
    </rPh>
    <rPh sb="33" eb="34">
      <t>ラン</t>
    </rPh>
    <rPh sb="35" eb="37">
      <t>ヘンコウ</t>
    </rPh>
    <rPh sb="65" eb="67">
      <t>キロク</t>
    </rPh>
    <rPh sb="72" eb="74">
      <t>ヘンコウ</t>
    </rPh>
    <rPh sb="77" eb="79">
      <t>シュウケイ</t>
    </rPh>
    <rPh sb="79" eb="81">
      <t>ケッカ</t>
    </rPh>
    <rPh sb="83" eb="86">
      <t>センタクシ</t>
    </rPh>
    <rPh sb="86" eb="88">
      <t>テイギ</t>
    </rPh>
    <rPh sb="99" eb="100">
      <t>ア</t>
    </rPh>
    <rPh sb="103" eb="106">
      <t>フグアイ</t>
    </rPh>
    <rPh sb="106" eb="108">
      <t>シュベツ</t>
    </rPh>
    <rPh sb="109" eb="111">
      <t>ミナオ</t>
    </rPh>
    <phoneticPr fontId="4"/>
  </si>
  <si>
    <t>・「選択肢定義」シート
外部テスト設計の不具合種別数が抜けていたため修正</t>
    <phoneticPr fontId="4"/>
  </si>
  <si>
    <t>・誤記</t>
    <phoneticPr fontId="4"/>
  </si>
  <si>
    <t>技術課題管理表</t>
    <phoneticPr fontId="4"/>
  </si>
  <si>
    <t>変更管理表</t>
    <rPh sb="0" eb="2">
      <t>ヘンコウ</t>
    </rPh>
    <rPh sb="2" eb="4">
      <t>カンリ</t>
    </rPh>
    <rPh sb="4" eb="5">
      <t>ヒョウ</t>
    </rPh>
    <phoneticPr fontId="4"/>
  </si>
  <si>
    <t>・「表紙」シート
参照文書に変更管理表を追加</t>
    <rPh sb="2" eb="4">
      <t>ヒョウシ</t>
    </rPh>
    <rPh sb="9" eb="11">
      <t>サンショウ</t>
    </rPh>
    <rPh sb="11" eb="13">
      <t>ブンショ</t>
    </rPh>
    <rPh sb="14" eb="16">
      <t>ヘンコウ</t>
    </rPh>
    <rPh sb="16" eb="18">
      <t>カンリ</t>
    </rPh>
    <rPh sb="18" eb="19">
      <t>ヒョウ</t>
    </rPh>
    <rPh sb="20" eb="22">
      <t>ツイカ</t>
    </rPh>
    <phoneticPr fontId="4"/>
  </si>
  <si>
    <t>・参照文書の不足</t>
    <rPh sb="1" eb="3">
      <t>サンショウ</t>
    </rPh>
    <rPh sb="3" eb="5">
      <t>ブンショ</t>
    </rPh>
    <rPh sb="6" eb="8">
      <t>フソク</t>
    </rPh>
    <phoneticPr fontId="4"/>
  </si>
  <si>
    <t>・ユーザビリティの向上</t>
    <phoneticPr fontId="4"/>
  </si>
  <si>
    <t>・ユーザビリティの向上</t>
    <phoneticPr fontId="4"/>
  </si>
  <si>
    <t>・「記録#1」「記録#TMP」シート
ヘッダ行とデータ行の罫線の種類を揃えるように変更した。</t>
    <rPh sb="22" eb="23">
      <t>ギョウ</t>
    </rPh>
    <rPh sb="27" eb="28">
      <t>ギョウ</t>
    </rPh>
    <rPh sb="29" eb="31">
      <t>ケイセン</t>
    </rPh>
    <rPh sb="32" eb="34">
      <t>シュルイ</t>
    </rPh>
    <rPh sb="35" eb="36">
      <t>ソロ</t>
    </rPh>
    <rPh sb="41" eb="43">
      <t>ヘンコウ</t>
    </rPh>
    <phoneticPr fontId="4"/>
  </si>
  <si>
    <t>業務分野</t>
    <rPh sb="0" eb="2">
      <t>ギョウム</t>
    </rPh>
    <rPh sb="2" eb="4">
      <t>ブンヤ</t>
    </rPh>
    <phoneticPr fontId="4"/>
  </si>
  <si>
    <t>X</t>
    <phoneticPr fontId="4"/>
  </si>
  <si>
    <t>Y</t>
    <phoneticPr fontId="4"/>
  </si>
  <si>
    <t>竹村</t>
  </si>
  <si>
    <t>Office2010へ移行</t>
  </si>
  <si>
    <t>-</t>
  </si>
  <si>
    <t>構成管理不良</t>
    <phoneticPr fontId="4"/>
  </si>
  <si>
    <t>・「選択肢定義」シート・「集計結果」シート
不具合種別に「はず設計・はず実行」を追加</t>
    <rPh sb="2" eb="5">
      <t>センタクシ</t>
    </rPh>
    <rPh sb="5" eb="7">
      <t>テイギ</t>
    </rPh>
    <rPh sb="15" eb="17">
      <t>ケッカ</t>
    </rPh>
    <rPh sb="22" eb="25">
      <t>フグアイ</t>
    </rPh>
    <rPh sb="25" eb="27">
      <t>シュベツ</t>
    </rPh>
    <rPh sb="31" eb="33">
      <t>セッケイ</t>
    </rPh>
    <rPh sb="36" eb="38">
      <t>ジッコウ</t>
    </rPh>
    <rPh sb="40" eb="42">
      <t>ツイカ</t>
    </rPh>
    <phoneticPr fontId="4"/>
  </si>
  <si>
    <t>意図・理由</t>
    <phoneticPr fontId="4"/>
  </si>
  <si>
    <t>観点を確認したエビデンス/根拠(リンク)</t>
    <phoneticPr fontId="4"/>
  </si>
  <si>
    <t>2.10</t>
    <phoneticPr fontId="4"/>
  </si>
  <si>
    <t>竹村</t>
    <rPh sb="0" eb="2">
      <t>タケムラ</t>
    </rPh>
    <phoneticPr fontId="4"/>
  </si>
  <si>
    <t>・重不－1402 再発防止策</t>
    <rPh sb="1" eb="2">
      <t>ジュウ</t>
    </rPh>
    <rPh sb="2" eb="3">
      <t>フ</t>
    </rPh>
    <rPh sb="9" eb="11">
      <t>サイハツ</t>
    </rPh>
    <rPh sb="11" eb="13">
      <t>ボウシ</t>
    </rPh>
    <rPh sb="13" eb="14">
      <t>サク</t>
    </rPh>
    <phoneticPr fontId="4"/>
  </si>
  <si>
    <t>・ピアレビュー基準の変更に伴う変更</t>
    <rPh sb="7" eb="9">
      <t>キジュン</t>
    </rPh>
    <rPh sb="10" eb="12">
      <t>ヘンコウ</t>
    </rPh>
    <rPh sb="13" eb="14">
      <t>トモナ</t>
    </rPh>
    <rPh sb="15" eb="17">
      <t>ヘンコウ</t>
    </rPh>
    <phoneticPr fontId="4"/>
  </si>
  <si>
    <t>１．前提ルール</t>
    <rPh sb="2" eb="4">
      <t>ゼンテイ</t>
    </rPh>
    <phoneticPr fontId="4"/>
  </si>
  <si>
    <t>２．フローと手順</t>
    <rPh sb="6" eb="8">
      <t>テジュン</t>
    </rPh>
    <phoneticPr fontId="4"/>
  </si>
  <si>
    <t>ピアレビュー基準を参照すること。</t>
    <rPh sb="6" eb="8">
      <t>キジュン</t>
    </rPh>
    <rPh sb="9" eb="11">
      <t>サンショウ</t>
    </rPh>
    <phoneticPr fontId="4"/>
  </si>
  <si>
    <t>マニュアルシート
・「概略フロー」「手順と解説」章を「フローと手順」章に変更し、ピアレビュー基準を参照する旨を記述。</t>
    <rPh sb="11" eb="13">
      <t>ガイリャク</t>
    </rPh>
    <rPh sb="18" eb="20">
      <t>テジュン</t>
    </rPh>
    <rPh sb="21" eb="23">
      <t>カイセツ</t>
    </rPh>
    <rPh sb="24" eb="25">
      <t>ショウ</t>
    </rPh>
    <rPh sb="31" eb="33">
      <t>テジュン</t>
    </rPh>
    <rPh sb="34" eb="35">
      <t>ショウ</t>
    </rPh>
    <rPh sb="36" eb="38">
      <t>ヘンコウ</t>
    </rPh>
    <rPh sb="46" eb="48">
      <t>キジュン</t>
    </rPh>
    <rPh sb="49" eb="51">
      <t>サンショウ</t>
    </rPh>
    <rPh sb="53" eb="54">
      <t>ムネ</t>
    </rPh>
    <rPh sb="55" eb="57">
      <t>キジュツ</t>
    </rPh>
    <phoneticPr fontId="4"/>
  </si>
  <si>
    <t>レビュー管理シート、記録#1シート、記録#TMPシート
・パスアラウンドの準備で決定する以下を記述できるように変更。
　・開始日、終了日</t>
    <rPh sb="4" eb="6">
      <t>カンリ</t>
    </rPh>
    <phoneticPr fontId="4"/>
  </si>
  <si>
    <t>※開発業務の場合、ピアレビュー基準の必須観点を必ず確認すること。</t>
    <rPh sb="1" eb="3">
      <t>カイハツ</t>
    </rPh>
    <rPh sb="3" eb="5">
      <t>ギョウム</t>
    </rPh>
    <rPh sb="6" eb="8">
      <t>バアイ</t>
    </rPh>
    <rPh sb="15" eb="17">
      <t>キジュン</t>
    </rPh>
    <rPh sb="18" eb="20">
      <t>ヒッス</t>
    </rPh>
    <rPh sb="20" eb="22">
      <t>カンテン</t>
    </rPh>
    <rPh sb="23" eb="24">
      <t>カナラ</t>
    </rPh>
    <rPh sb="25" eb="27">
      <t>カクニン</t>
    </rPh>
    <phoneticPr fontId="4"/>
  </si>
  <si>
    <t>対象範囲</t>
    <phoneticPr fontId="4"/>
  </si>
  <si>
    <t>計画</t>
    <rPh sb="0" eb="2">
      <t>ケイカク</t>
    </rPh>
    <phoneticPr fontId="4"/>
  </si>
  <si>
    <t>レビュー手法</t>
    <rPh sb="4" eb="6">
      <t>シュホウ</t>
    </rPh>
    <phoneticPr fontId="4"/>
  </si>
  <si>
    <t>実績</t>
    <rPh sb="0" eb="2">
      <t>ジッセキ</t>
    </rPh>
    <phoneticPr fontId="4"/>
  </si>
  <si>
    <t>記録#1シート、記録#TMPシート
・「形式」を「レビューの手法」（以下）に変更。
　・インスペクション
　・ウォークスルー
　・パスアラウンド
・「計画レビューア、（参加者）,★識者」は案件計画書に移動したため削除。
・「実績レビューア、（参加者）,★識者」を「参加者と役割（実績）」に変更し、記載内容の説明をコメントとして追加。
・対象範囲列を追加。
・観点の網羅性の定義を変更。
・ウォークスルー、インスペクションの終了判定を記載。</t>
    <rPh sb="168" eb="170">
      <t>タイショウ</t>
    </rPh>
    <rPh sb="170" eb="172">
      <t>ハンイ</t>
    </rPh>
    <rPh sb="172" eb="173">
      <t>レツ</t>
    </rPh>
    <rPh sb="174" eb="176">
      <t>ツイカ</t>
    </rPh>
    <phoneticPr fontId="4"/>
  </si>
  <si>
    <t>はず設計</t>
    <rPh sb="2" eb="4">
      <t>セッケイ</t>
    </rPh>
    <phoneticPr fontId="4"/>
  </si>
  <si>
    <t>竹村</t>
    <rPh sb="0" eb="2">
      <t>タケムラ</t>
    </rPh>
    <phoneticPr fontId="4"/>
  </si>
  <si>
    <t>記録#1シート、記録#TMPシート
・はず設計列を追加
・不具合・指摘の場合、はず設計列を記入必須とするよう、警告列の数式を変更
・シート上部に、はず設計件数の集計結果を表示する欄を作成</t>
    <rPh sb="21" eb="23">
      <t>セッケイ</t>
    </rPh>
    <rPh sb="23" eb="24">
      <t>レツ</t>
    </rPh>
    <rPh sb="25" eb="27">
      <t>ツイカ</t>
    </rPh>
    <rPh sb="29" eb="32">
      <t>フグアイ</t>
    </rPh>
    <rPh sb="33" eb="35">
      <t>シテキ</t>
    </rPh>
    <rPh sb="36" eb="38">
      <t>バアイ</t>
    </rPh>
    <rPh sb="41" eb="43">
      <t>セッケイ</t>
    </rPh>
    <rPh sb="43" eb="44">
      <t>レツ</t>
    </rPh>
    <rPh sb="45" eb="47">
      <t>キニュウ</t>
    </rPh>
    <rPh sb="47" eb="49">
      <t>ヒッス</t>
    </rPh>
    <rPh sb="55" eb="57">
      <t>ケイコク</t>
    </rPh>
    <rPh sb="57" eb="58">
      <t>レツ</t>
    </rPh>
    <rPh sb="59" eb="61">
      <t>スウシキ</t>
    </rPh>
    <rPh sb="62" eb="64">
      <t>ヘンコウ</t>
    </rPh>
    <rPh sb="69" eb="71">
      <t>ジョウブ</t>
    </rPh>
    <rPh sb="75" eb="77">
      <t>セッケイ</t>
    </rPh>
    <rPh sb="77" eb="79">
      <t>ケンスウ</t>
    </rPh>
    <rPh sb="80" eb="82">
      <t>シュウケイ</t>
    </rPh>
    <rPh sb="82" eb="84">
      <t>ケッカ</t>
    </rPh>
    <rPh sb="85" eb="87">
      <t>ヒョウジ</t>
    </rPh>
    <rPh sb="89" eb="90">
      <t>ラン</t>
    </rPh>
    <rPh sb="91" eb="93">
      <t>サクセイ</t>
    </rPh>
    <phoneticPr fontId="4"/>
  </si>
  <si>
    <t>対策状況
不明</t>
    <phoneticPr fontId="4"/>
  </si>
  <si>
    <t>はず設計件数</t>
    <rPh sb="2" eb="4">
      <t>セッケイ</t>
    </rPh>
    <rPh sb="4" eb="6">
      <t>ケンスウ</t>
    </rPh>
    <phoneticPr fontId="4"/>
  </si>
  <si>
    <t>レビュー管理シート
・各シートのはず設計件数が表示されるよう列を追加
・ピアレビュー管理表全体のはず設計件数が表示されるよう列を追加</t>
    <rPh sb="11" eb="12">
      <t>カク</t>
    </rPh>
    <rPh sb="18" eb="20">
      <t>セッケイ</t>
    </rPh>
    <rPh sb="20" eb="22">
      <t>ケンスウ</t>
    </rPh>
    <rPh sb="23" eb="25">
      <t>ヒョウジ</t>
    </rPh>
    <rPh sb="30" eb="31">
      <t>レツ</t>
    </rPh>
    <rPh sb="32" eb="34">
      <t>ツイカ</t>
    </rPh>
    <rPh sb="42" eb="44">
      <t>カンリ</t>
    </rPh>
    <rPh sb="44" eb="45">
      <t>ヒョウ</t>
    </rPh>
    <rPh sb="45" eb="47">
      <t>ゼンタイ</t>
    </rPh>
    <rPh sb="50" eb="52">
      <t>セッケイ</t>
    </rPh>
    <rPh sb="52" eb="54">
      <t>ケンスウ</t>
    </rPh>
    <rPh sb="55" eb="57">
      <t>ヒョウジ</t>
    </rPh>
    <rPh sb="62" eb="63">
      <t>レツ</t>
    </rPh>
    <rPh sb="64" eb="66">
      <t>ツイカ</t>
    </rPh>
    <phoneticPr fontId="4"/>
  </si>
  <si>
    <t>・「記録#1」「記録#TMP」シート
　修正後Verを記載する欄を追加した</t>
    <rPh sb="20" eb="22">
      <t>シュウセイ</t>
    </rPh>
    <rPh sb="22" eb="23">
      <t>ゴ</t>
    </rPh>
    <rPh sb="27" eb="29">
      <t>キサイ</t>
    </rPh>
    <rPh sb="31" eb="32">
      <t>ラン</t>
    </rPh>
    <rPh sb="33" eb="35">
      <t>ツイカ</t>
    </rPh>
    <phoneticPr fontId="4"/>
  </si>
  <si>
    <t>・「記録#1」「記録#TMP」シート
　対象成果番号をリストで選択できるように変更。
　再発欄のリストに「再発でない」を追加。
　同一／類似不具合の対策内容が記述できるよう「同一／類似不具合対策結果」欄を追加。
 コピー・切り取り状態で行追加しても不要な文言がコピーされないようマクロを修正。
　観点の網羅性欄と観点チェックリストを統合</t>
    <rPh sb="20" eb="22">
      <t>タイショウ</t>
    </rPh>
    <rPh sb="22" eb="24">
      <t>セイカ</t>
    </rPh>
    <rPh sb="24" eb="26">
      <t>バンゴウ</t>
    </rPh>
    <rPh sb="31" eb="33">
      <t>センタク</t>
    </rPh>
    <rPh sb="39" eb="41">
      <t>ヘンコウ</t>
    </rPh>
    <rPh sb="44" eb="46">
      <t>サイハツ</t>
    </rPh>
    <rPh sb="46" eb="47">
      <t>ラン</t>
    </rPh>
    <rPh sb="53" eb="55">
      <t>サイハツ</t>
    </rPh>
    <rPh sb="60" eb="62">
      <t>ツイカ</t>
    </rPh>
    <rPh sb="111" eb="112">
      <t>キ</t>
    </rPh>
    <rPh sb="113" eb="114">
      <t>ト</t>
    </rPh>
    <rPh sb="115" eb="117">
      <t>ジョウタイ</t>
    </rPh>
    <rPh sb="118" eb="119">
      <t>ギョウ</t>
    </rPh>
    <rPh sb="119" eb="121">
      <t>ツイカ</t>
    </rPh>
    <rPh sb="124" eb="126">
      <t>フヨウ</t>
    </rPh>
    <rPh sb="127" eb="129">
      <t>モンゴン</t>
    </rPh>
    <rPh sb="143" eb="145">
      <t>シュウセイ</t>
    </rPh>
    <phoneticPr fontId="4"/>
  </si>
  <si>
    <t>集計結果シート、選択肢定義シート
・不具合種別から「はず設計・はず実施」を削除</t>
    <rPh sb="18" eb="21">
      <t>フグアイ</t>
    </rPh>
    <rPh sb="21" eb="23">
      <t>シュベツ</t>
    </rPh>
    <rPh sb="37" eb="39">
      <t>サクジョ</t>
    </rPh>
    <phoneticPr fontId="4"/>
  </si>
  <si>
    <t>集計結果シート
・各工程のはず設計件数が表示されるように列を追加</t>
    <rPh sb="9" eb="10">
      <t>カク</t>
    </rPh>
    <rPh sb="10" eb="12">
      <t>コウテイ</t>
    </rPh>
    <rPh sb="15" eb="17">
      <t>セッケイ</t>
    </rPh>
    <rPh sb="17" eb="19">
      <t>ケンスウ</t>
    </rPh>
    <rPh sb="20" eb="22">
      <t>ヒョウジ</t>
    </rPh>
    <rPh sb="28" eb="29">
      <t>レツ</t>
    </rPh>
    <rPh sb="30" eb="32">
      <t>ツイカ</t>
    </rPh>
    <phoneticPr fontId="4"/>
  </si>
  <si>
    <t>はず設計件数</t>
    <rPh sb="2" eb="4">
      <t>セッケイ</t>
    </rPh>
    <rPh sb="4" eb="6">
      <t>ケンスウ</t>
    </rPh>
    <phoneticPr fontId="4"/>
  </si>
  <si>
    <t>小寺</t>
    <rPh sb="0" eb="2">
      <t>コデラ</t>
    </rPh>
    <phoneticPr fontId="4"/>
  </si>
  <si>
    <t>要求分析強化によるSPE-RAタスクの追加のため。</t>
    <phoneticPr fontId="4"/>
  </si>
  <si>
    <t>集計結果シート、選択肢定義シート
SPE-RAの工程および不具合種別の対応。</t>
    <rPh sb="24" eb="26">
      <t>コウテイ</t>
    </rPh>
    <rPh sb="29" eb="32">
      <t>フグアイ</t>
    </rPh>
    <rPh sb="32" eb="34">
      <t>シュベツ</t>
    </rPh>
    <rPh sb="35" eb="37">
      <t>タイオウ</t>
    </rPh>
    <phoneticPr fontId="4"/>
  </si>
  <si>
    <t>重不－1402 再発防止策</t>
    <phoneticPr fontId="4"/>
  </si>
  <si>
    <t>要求分析</t>
    <rPh sb="0" eb="2">
      <t>ヨウキュウ</t>
    </rPh>
    <rPh sb="2" eb="4">
      <t>ブンセキ</t>
    </rPh>
    <phoneticPr fontId="4"/>
  </si>
  <si>
    <t>シナリオ分析の実施</t>
  </si>
  <si>
    <t>機能分析の実施</t>
  </si>
  <si>
    <t>要求仕様の曖昧さの除去</t>
  </si>
  <si>
    <t>要求全体の整合性の検証</t>
  </si>
  <si>
    <t>要求分析</t>
    <rPh sb="2" eb="4">
      <t>ブンセキ</t>
    </rPh>
    <phoneticPr fontId="4"/>
  </si>
  <si>
    <t>レビュー工数(H)</t>
    <rPh sb="4" eb="6">
      <t>コウスウ</t>
    </rPh>
    <phoneticPr fontId="4"/>
  </si>
  <si>
    <t>成果物作成工数(H)</t>
    <rPh sb="0" eb="2">
      <t>セイカ</t>
    </rPh>
    <rPh sb="2" eb="3">
      <t>ブツ</t>
    </rPh>
    <rPh sb="3" eb="5">
      <t>サクセイ</t>
    </rPh>
    <rPh sb="5" eb="7">
      <t>コウスウ</t>
    </rPh>
    <phoneticPr fontId="4"/>
  </si>
  <si>
    <t>摘出不具合件数（件）</t>
    <phoneticPr fontId="4"/>
  </si>
  <si>
    <t>■期限超過状況</t>
    <rPh sb="1" eb="3">
      <t>キゲン</t>
    </rPh>
    <rPh sb="3" eb="5">
      <t>チョウカ</t>
    </rPh>
    <rPh sb="5" eb="7">
      <t>ジョウキョウ</t>
    </rPh>
    <phoneticPr fontId="4"/>
  </si>
  <si>
    <t>レビュー実施遅れ</t>
    <phoneticPr fontId="4"/>
  </si>
  <si>
    <t>レビュー計画不備</t>
    <rPh sb="4" eb="6">
      <t>ケイカク</t>
    </rPh>
    <rPh sb="6" eb="8">
      <t>フビ</t>
    </rPh>
    <phoneticPr fontId="4"/>
  </si>
  <si>
    <t>対策未計画</t>
    <phoneticPr fontId="4"/>
  </si>
  <si>
    <t>対策計画未承認</t>
    <phoneticPr fontId="4"/>
  </si>
  <si>
    <t>対策完了予定日超過</t>
    <phoneticPr fontId="4"/>
  </si>
  <si>
    <t>対策未確認</t>
    <rPh sb="2" eb="5">
      <t>ミカクニン</t>
    </rPh>
    <phoneticPr fontId="4"/>
  </si>
  <si>
    <t>継続/終了未判断</t>
    <rPh sb="0" eb="2">
      <t>ケイゾク</t>
    </rPh>
    <rPh sb="3" eb="5">
      <t>シュウリョウ</t>
    </rPh>
    <rPh sb="5" eb="6">
      <t>ミ</t>
    </rPh>
    <rPh sb="6" eb="8">
      <t>ハンダン</t>
    </rPh>
    <phoneticPr fontId="4"/>
  </si>
  <si>
    <t>期限超過状況</t>
    <rPh sb="0" eb="2">
      <t>キゲン</t>
    </rPh>
    <rPh sb="2" eb="4">
      <t>チョウカ</t>
    </rPh>
    <rPh sb="4" eb="6">
      <t>ジョウキョウ</t>
    </rPh>
    <phoneticPr fontId="4"/>
  </si>
  <si>
    <t>レビュー
計画不備
件数</t>
    <rPh sb="5" eb="7">
      <t>ケイカク</t>
    </rPh>
    <rPh sb="7" eb="9">
      <t>フビ</t>
    </rPh>
    <rPh sb="10" eb="12">
      <t>ケンスウ</t>
    </rPh>
    <phoneticPr fontId="4"/>
  </si>
  <si>
    <t>レビュー
実施遅れ
件数</t>
    <rPh sb="10" eb="12">
      <t>ケンスウ</t>
    </rPh>
    <phoneticPr fontId="4"/>
  </si>
  <si>
    <t>継続/終了
未判断
件数</t>
    <rPh sb="0" eb="2">
      <t>ケイゾク</t>
    </rPh>
    <rPh sb="3" eb="5">
      <t>シュウリョウ</t>
    </rPh>
    <rPh sb="6" eb="7">
      <t>ミ</t>
    </rPh>
    <rPh sb="7" eb="9">
      <t>ハンダン</t>
    </rPh>
    <rPh sb="10" eb="12">
      <t>ケンスウ</t>
    </rPh>
    <phoneticPr fontId="4"/>
  </si>
  <si>
    <t>対策
未計画
件数</t>
    <rPh sb="7" eb="9">
      <t>ケンスウ</t>
    </rPh>
    <phoneticPr fontId="4"/>
  </si>
  <si>
    <t>対策計画
未承認
件数</t>
    <rPh sb="9" eb="11">
      <t>ケンスウ</t>
    </rPh>
    <phoneticPr fontId="4"/>
  </si>
  <si>
    <t>対策完了
予定日超過
件数</t>
    <rPh sb="11" eb="13">
      <t>ケンスウ</t>
    </rPh>
    <phoneticPr fontId="4"/>
  </si>
  <si>
    <t>対策
未確認
件数</t>
    <rPh sb="3" eb="6">
      <t>ミカクニン</t>
    </rPh>
    <rPh sb="7" eb="9">
      <t>ケンスウ</t>
    </rPh>
    <phoneticPr fontId="4"/>
  </si>
  <si>
    <t>・ユーザビリティの向上（チェックの簡易化）</t>
    <rPh sb="9" eb="11">
      <t>コウジョウ</t>
    </rPh>
    <rPh sb="17" eb="20">
      <t>カンイカ</t>
    </rPh>
    <phoneticPr fontId="4"/>
  </si>
  <si>
    <t>レビュー管理シート、記録#1シート、記録#TMPシート
・期限関連の不備の件数を集計し、表示するように変更。
記録#1シート、記録#TMPシート
・期限関連の不備の箇所がわかるように条件付き書式を見直し。</t>
    <rPh sb="4" eb="6">
      <t>カンリ</t>
    </rPh>
    <rPh sb="29" eb="31">
      <t>キゲン</t>
    </rPh>
    <rPh sb="31" eb="33">
      <t>カンレン</t>
    </rPh>
    <rPh sb="34" eb="36">
      <t>フビ</t>
    </rPh>
    <rPh sb="37" eb="39">
      <t>ケンスウ</t>
    </rPh>
    <rPh sb="40" eb="42">
      <t>シュウケイ</t>
    </rPh>
    <rPh sb="44" eb="46">
      <t>ヒョウジ</t>
    </rPh>
    <rPh sb="51" eb="53">
      <t>ヘンコウ</t>
    </rPh>
    <rPh sb="74" eb="76">
      <t>キゲン</t>
    </rPh>
    <rPh sb="76" eb="78">
      <t>カンレン</t>
    </rPh>
    <rPh sb="79" eb="81">
      <t>フビ</t>
    </rPh>
    <rPh sb="82" eb="84">
      <t>カショ</t>
    </rPh>
    <rPh sb="91" eb="93">
      <t>ジョウケン</t>
    </rPh>
    <rPh sb="93" eb="94">
      <t>ツ</t>
    </rPh>
    <rPh sb="95" eb="97">
      <t>ショシキ</t>
    </rPh>
    <rPh sb="98" eb="100">
      <t>ミナオ</t>
    </rPh>
    <phoneticPr fontId="4"/>
  </si>
  <si>
    <t>記録#1シート、記録#TMPシート
・「■レビューの評価」の単位の記載位置を変更。
・「■レビューの観点・終了条件」のタイトルを「■レビューの終了条件」に変更。</t>
    <rPh sb="30" eb="32">
      <t>タンイ</t>
    </rPh>
    <rPh sb="33" eb="35">
      <t>キサイ</t>
    </rPh>
    <rPh sb="35" eb="37">
      <t>イチ</t>
    </rPh>
    <rPh sb="38" eb="40">
      <t>ヘンコウ</t>
    </rPh>
    <phoneticPr fontId="4"/>
  </si>
  <si>
    <t>・誤記などの修正</t>
    <rPh sb="1" eb="3">
      <t>ゴキ</t>
    </rPh>
    <rPh sb="6" eb="8">
      <t>シュウセイ</t>
    </rPh>
    <phoneticPr fontId="4"/>
  </si>
  <si>
    <t>参加者と役割</t>
    <rPh sb="0" eb="3">
      <t>サンカシャ</t>
    </rPh>
    <rPh sb="4" eb="6">
      <t>ヤクワリ</t>
    </rPh>
    <phoneticPr fontId="4"/>
  </si>
  <si>
    <t>対象範囲</t>
    <rPh sb="0" eb="2">
      <t>タイショウ</t>
    </rPh>
    <rPh sb="2" eb="4">
      <t>ハンイ</t>
    </rPh>
    <phoneticPr fontId="4"/>
  </si>
  <si>
    <t>参加者と役割</t>
    <rPh sb="0" eb="3">
      <t>サンカシャ</t>
    </rPh>
    <rPh sb="4" eb="6">
      <t>ヤクワリ</t>
    </rPh>
    <phoneticPr fontId="4"/>
  </si>
  <si>
    <t>久保木</t>
    <rPh sb="0" eb="3">
      <t>クボキ</t>
    </rPh>
    <phoneticPr fontId="4"/>
  </si>
  <si>
    <t>記録#1シート、記録#TMPシート
・「■レビューの終了条件」にパスアラウンドを追加した。</t>
    <rPh sb="26" eb="28">
      <t>シュウリョウ</t>
    </rPh>
    <rPh sb="28" eb="30">
      <t>ジョウケン</t>
    </rPh>
    <rPh sb="40" eb="42">
      <t>ツイカ</t>
    </rPh>
    <phoneticPr fontId="4"/>
  </si>
  <si>
    <t>・１件でも未計画があると、ステータスが未計画となるため。</t>
    <rPh sb="2" eb="3">
      <t>ケン</t>
    </rPh>
    <rPh sb="5" eb="6">
      <t>ミ</t>
    </rPh>
    <rPh sb="6" eb="8">
      <t>ケイカク</t>
    </rPh>
    <rPh sb="19" eb="20">
      <t>ミ</t>
    </rPh>
    <rPh sb="20" eb="22">
      <t>ケイカク</t>
    </rPh>
    <phoneticPr fontId="4"/>
  </si>
  <si>
    <t>・レビュー手法に対応する終了条件が不足していたため。</t>
    <rPh sb="5" eb="7">
      <t>シュホウ</t>
    </rPh>
    <rPh sb="8" eb="10">
      <t>タイオウ</t>
    </rPh>
    <rPh sb="12" eb="14">
      <t>シュウリョウ</t>
    </rPh>
    <rPh sb="14" eb="16">
      <t>ジョウケン</t>
    </rPh>
    <rPh sb="17" eb="19">
      <t>フソク</t>
    </rPh>
    <phoneticPr fontId="4"/>
  </si>
  <si>
    <t>記録#1シート、記録#TMPシート
・「■レビュー計画・実績」の警告欄の数式を見直した。</t>
    <phoneticPr fontId="4"/>
  </si>
  <si>
    <t>記録#1シート、記録#TMPシート
・「■レビュー計画・実績」の計画、実績欄の項目を合わせた。</t>
    <rPh sb="32" eb="34">
      <t>ケイカク</t>
    </rPh>
    <rPh sb="35" eb="37">
      <t>ジッセキ</t>
    </rPh>
    <rPh sb="37" eb="38">
      <t>ラン</t>
    </rPh>
    <rPh sb="39" eb="41">
      <t>コウモク</t>
    </rPh>
    <rPh sb="42" eb="43">
      <t>ア</t>
    </rPh>
    <phoneticPr fontId="4"/>
  </si>
  <si>
    <t>・計画、実績欄の項目が統一されていなかったため。</t>
    <rPh sb="1" eb="3">
      <t>ケイカク</t>
    </rPh>
    <rPh sb="4" eb="6">
      <t>ジッセキ</t>
    </rPh>
    <rPh sb="6" eb="7">
      <t>ラン</t>
    </rPh>
    <rPh sb="8" eb="10">
      <t>コウモク</t>
    </rPh>
    <rPh sb="11" eb="13">
      <t>トウイツ</t>
    </rPh>
    <phoneticPr fontId="4"/>
  </si>
  <si>
    <t>警告
（実績）</t>
    <rPh sb="0" eb="2">
      <t>ケイコク</t>
    </rPh>
    <rPh sb="4" eb="6">
      <t>ジッセキ</t>
    </rPh>
    <phoneticPr fontId="4"/>
  </si>
  <si>
    <t>警告
（計画）</t>
    <rPh sb="0" eb="2">
      <t>ケイコク</t>
    </rPh>
    <rPh sb="4" eb="6">
      <t>ケイカク</t>
    </rPh>
    <phoneticPr fontId="4"/>
  </si>
  <si>
    <t>継続/終了</t>
    <phoneticPr fontId="4"/>
  </si>
  <si>
    <t>処置</t>
    <phoneticPr fontId="4"/>
  </si>
  <si>
    <t>承認</t>
    <phoneticPr fontId="4"/>
  </si>
  <si>
    <t>記録#1シート、記録#TMPシート
・「不具合・指摘」の警告欄の数式を見直した。</t>
    <rPh sb="20" eb="23">
      <t>フグアイ</t>
    </rPh>
    <rPh sb="24" eb="26">
      <t>シテキ</t>
    </rPh>
    <rPh sb="28" eb="30">
      <t>ケイコク</t>
    </rPh>
    <rPh sb="30" eb="31">
      <t>ラン</t>
    </rPh>
    <rPh sb="32" eb="34">
      <t>スウシキ</t>
    </rPh>
    <rPh sb="35" eb="37">
      <t>ミナオ</t>
    </rPh>
    <phoneticPr fontId="4"/>
  </si>
  <si>
    <t>・自己発見不具合の修正</t>
    <rPh sb="1" eb="3">
      <t>ジコ</t>
    </rPh>
    <rPh sb="3" eb="5">
      <t>ハッケン</t>
    </rPh>
    <rPh sb="5" eb="8">
      <t>フグアイ</t>
    </rPh>
    <rPh sb="9" eb="11">
      <t>シュウセイ</t>
    </rPh>
    <phoneticPr fontId="4"/>
  </si>
  <si>
    <t>記録#1シート、記録#TMPシート
・「■対象成果物」、「■レビュー計画・実績」、「■観点の網羅性」に行追加の補足を追加した。</t>
    <rPh sb="51" eb="52">
      <t>ギョウ</t>
    </rPh>
    <rPh sb="52" eb="54">
      <t>ツイカ</t>
    </rPh>
    <rPh sb="55" eb="57">
      <t>ホソク</t>
    </rPh>
    <rPh sb="58" eb="60">
      <t>ツイカ</t>
    </rPh>
    <phoneticPr fontId="4"/>
  </si>
  <si>
    <t>■レビューの評価</t>
    <rPh sb="6" eb="8">
      <t>ヒョウカ</t>
    </rPh>
    <phoneticPr fontId="4"/>
  </si>
  <si>
    <t>計画</t>
    <rPh sb="0" eb="2">
      <t>ケイカク</t>
    </rPh>
    <phoneticPr fontId="4"/>
  </si>
  <si>
    <t>実績</t>
    <rPh sb="0" eb="2">
      <t>ジッセキ</t>
    </rPh>
    <phoneticPr fontId="4"/>
  </si>
  <si>
    <t>成果物作成工数</t>
    <rPh sb="0" eb="3">
      <t>セイカブツ</t>
    </rPh>
    <rPh sb="3" eb="5">
      <t>サクセイ</t>
    </rPh>
    <rPh sb="5" eb="7">
      <t>コウスウ</t>
    </rPh>
    <phoneticPr fontId="4"/>
  </si>
  <si>
    <t>摘出不具合件数</t>
    <rPh sb="0" eb="2">
      <t>テキシュツ</t>
    </rPh>
    <rPh sb="2" eb="5">
      <t>フグアイ</t>
    </rPh>
    <rPh sb="5" eb="7">
      <t>ケンスウ</t>
    </rPh>
    <phoneticPr fontId="4"/>
  </si>
  <si>
    <t>レビュー管理シート
・「■レビューの評価」を直接参照していた数式は、集計欄を参照するようにした。</t>
    <rPh sb="18" eb="20">
      <t>ヒョウカ</t>
    </rPh>
    <rPh sb="22" eb="24">
      <t>チョクセツ</t>
    </rPh>
    <rPh sb="24" eb="26">
      <t>サンショウ</t>
    </rPh>
    <rPh sb="30" eb="32">
      <t>スウシキ</t>
    </rPh>
    <rPh sb="34" eb="36">
      <t>シュウケイ</t>
    </rPh>
    <rPh sb="36" eb="37">
      <t>ラン</t>
    </rPh>
    <rPh sb="38" eb="40">
      <t>サンショウ</t>
    </rPh>
    <phoneticPr fontId="4"/>
  </si>
  <si>
    <t>記録#1シート、記録#TMPシート
・集計欄に「■レビューの評価」の各項目の計画・実績値を集計するようにした。</t>
    <rPh sb="19" eb="21">
      <t>シュウケイ</t>
    </rPh>
    <rPh sb="21" eb="22">
      <t>ラン</t>
    </rPh>
    <rPh sb="30" eb="32">
      <t>ヒョウカ</t>
    </rPh>
    <rPh sb="34" eb="35">
      <t>カク</t>
    </rPh>
    <rPh sb="35" eb="37">
      <t>コウモク</t>
    </rPh>
    <rPh sb="38" eb="40">
      <t>ケイカク</t>
    </rPh>
    <rPh sb="41" eb="43">
      <t>ジッセキ</t>
    </rPh>
    <rPh sb="43" eb="44">
      <t>アタイ</t>
    </rPh>
    <rPh sb="45" eb="47">
      <t>シュウケイ</t>
    </rPh>
    <phoneticPr fontId="4"/>
  </si>
  <si>
    <t xml:space="preserve">↑行を追加するときは、ここの１行上の行をコピーし、この行より上に挿入してください。また成果番号を記入してください。
</t>
    <phoneticPr fontId="4"/>
  </si>
  <si>
    <t xml:space="preserve">↑行を追加するときは、ここの１行上の行をコピーし、この行より上に挿入してください。
</t>
    <phoneticPr fontId="4"/>
  </si>
  <si>
    <t>・行追加不可の制約解除のため。</t>
    <rPh sb="1" eb="2">
      <t>ギョウ</t>
    </rPh>
    <rPh sb="2" eb="4">
      <t>ツイカ</t>
    </rPh>
    <rPh sb="4" eb="6">
      <t>フカ</t>
    </rPh>
    <rPh sb="7" eb="9">
      <t>セイヤク</t>
    </rPh>
    <rPh sb="9" eb="11">
      <t>カイジョ</t>
    </rPh>
    <phoneticPr fontId="4"/>
  </si>
  <si>
    <t>2.14</t>
    <phoneticPr fontId="4"/>
  </si>
  <si>
    <t>・ソフト技術者資格制度に伴い、ロールを見直し、役割を明確にするため。</t>
    <rPh sb="4" eb="7">
      <t>ギジュツシャ</t>
    </rPh>
    <rPh sb="7" eb="9">
      <t>シカク</t>
    </rPh>
    <rPh sb="9" eb="11">
      <t>セイド</t>
    </rPh>
    <rPh sb="12" eb="13">
      <t>トモナ</t>
    </rPh>
    <rPh sb="19" eb="21">
      <t>ミナオ</t>
    </rPh>
    <rPh sb="23" eb="25">
      <t>ヤクワリ</t>
    </rPh>
    <rPh sb="26" eb="28">
      <t>メイカク</t>
    </rPh>
    <phoneticPr fontId="4"/>
  </si>
  <si>
    <t>技術リーダー、設計レビューア、製作レビューアまたは指摘者</t>
    <rPh sb="0" eb="2">
      <t>ギジュツ</t>
    </rPh>
    <rPh sb="7" eb="9">
      <t>セッケイ</t>
    </rPh>
    <rPh sb="15" eb="17">
      <t>セイサク</t>
    </rPh>
    <rPh sb="25" eb="27">
      <t>シテキ</t>
    </rPh>
    <rPh sb="27" eb="28">
      <t>シャ</t>
    </rPh>
    <phoneticPr fontId="4"/>
  </si>
  <si>
    <t>表紙シート
・「指摘事項の対策承認者」および「指摘事項の対策確認責任者」に、設計レビューア、製作レビューを追加した。</t>
    <rPh sb="8" eb="10">
      <t>シテキ</t>
    </rPh>
    <rPh sb="10" eb="12">
      <t>ジコウ</t>
    </rPh>
    <rPh sb="13" eb="15">
      <t>タイサク</t>
    </rPh>
    <rPh sb="15" eb="18">
      <t>ショウニンシャ</t>
    </rPh>
    <rPh sb="23" eb="25">
      <t>シテキ</t>
    </rPh>
    <rPh sb="25" eb="27">
      <t>ジコウ</t>
    </rPh>
    <rPh sb="28" eb="30">
      <t>タイサク</t>
    </rPh>
    <rPh sb="30" eb="32">
      <t>カクニン</t>
    </rPh>
    <rPh sb="32" eb="35">
      <t>セキニンシャ</t>
    </rPh>
    <rPh sb="38" eb="40">
      <t>セッケイ</t>
    </rPh>
    <rPh sb="46" eb="48">
      <t>セイサク</t>
    </rPh>
    <rPh sb="53" eb="55">
      <t>ツイカ</t>
    </rPh>
    <phoneticPr fontId="4"/>
  </si>
  <si>
    <t>④　不具合種別の変更は、全社SEPGにご相談願います。</t>
    <rPh sb="2" eb="5">
      <t>フグアイ</t>
    </rPh>
    <rPh sb="5" eb="7">
      <t>シュベツ</t>
    </rPh>
    <rPh sb="8" eb="10">
      <t>ヘンコウ</t>
    </rPh>
    <rPh sb="12" eb="14">
      <t>ゼンシャ</t>
    </rPh>
    <phoneticPr fontId="4"/>
  </si>
  <si>
    <t>2.15</t>
    <phoneticPr fontId="4"/>
  </si>
  <si>
    <t>マニュアルシート
・“SEPG(品質推進室）”を“全社SEPG”に変更。</t>
    <rPh sb="25" eb="27">
      <t>ゼンシャ</t>
    </rPh>
    <rPh sb="33" eb="35">
      <t>ヘンコウ</t>
    </rPh>
    <phoneticPr fontId="4"/>
  </si>
  <si>
    <t>・組織変更に対応するため。
  （部署名の変更で影響が発生しないようにするため
  部署名を削除。）</t>
    <rPh sb="1" eb="3">
      <t>ソシキ</t>
    </rPh>
    <rPh sb="3" eb="5">
      <t>ヘンコウ</t>
    </rPh>
    <rPh sb="6" eb="8">
      <t>タイオウ</t>
    </rPh>
    <rPh sb="17" eb="20">
      <t>ブショメイ</t>
    </rPh>
    <rPh sb="21" eb="23">
      <t>ヘンコウ</t>
    </rPh>
    <rPh sb="24" eb="26">
      <t>エイキョウ</t>
    </rPh>
    <rPh sb="27" eb="29">
      <t>ハッセイ</t>
    </rPh>
    <rPh sb="42" eb="45">
      <t>ブショメイ</t>
    </rPh>
    <rPh sb="46" eb="48">
      <t>サクジョ</t>
    </rPh>
    <phoneticPr fontId="4"/>
  </si>
  <si>
    <t>技術課題の抽出と解決方針検討（外部仕様設計）</t>
  </si>
  <si>
    <t>技術課題の抽出と解決方針検討（外部仕様設計）</t>
    <phoneticPr fontId="4"/>
  </si>
  <si>
    <t>技術課題の抽出と解決方針検討（要求分析）</t>
  </si>
  <si>
    <t>技術課題の抽出と解決方針検討（要求分析）</t>
    <phoneticPr fontId="4"/>
  </si>
  <si>
    <t>2.16</t>
    <phoneticPr fontId="4"/>
  </si>
  <si>
    <t xml:space="preserve">全体
・外部仕様設計工程の削除（要求分析工程と外部仕様設計工程の統合）
</t>
    <rPh sb="0" eb="2">
      <t>ゼンタイ</t>
    </rPh>
    <phoneticPr fontId="4"/>
  </si>
  <si>
    <t>・OSSP抽象本質化による、工程見直しの反映</t>
    <phoneticPr fontId="4"/>
  </si>
  <si>
    <t>開発対象の位置付けと役割の定義</t>
    <phoneticPr fontId="4"/>
  </si>
  <si>
    <t>レビューイ</t>
    <phoneticPr fontId="4"/>
  </si>
  <si>
    <t>レビューア</t>
    <phoneticPr fontId="4"/>
  </si>
  <si>
    <t>識者</t>
    <rPh sb="0" eb="2">
      <t>シキシャ</t>
    </rPh>
    <phoneticPr fontId="4"/>
  </si>
  <si>
    <t>2.17</t>
    <phoneticPr fontId="4"/>
  </si>
  <si>
    <t>加納</t>
    <rPh sb="0" eb="2">
      <t>カノウ</t>
    </rPh>
    <phoneticPr fontId="4"/>
  </si>
  <si>
    <t>全体
・ピアレビュー管理表v2.16をベースに、ウォークスルー／パスアラウンド版とインスペクション版に分割
記録#1シート、記録#TMPシート
・「■レビュー計画・実績」の”参加者と役割”の表構成を変更。
・「■レビュー計画・実績」の”レビュー手法”、「■レビューの終了条件」からインスペクションを削除
・「■期限超過状況」の全て、「■レビュー計画・実績」の”警告（計画）”、”警告（実績）”の数式を変更。
・「■レビュー計画・実績」の”参加者と役割”、”継続/終了”の条件書式を変更。</t>
    <rPh sb="12" eb="13">
      <t>ヒョウ</t>
    </rPh>
    <rPh sb="96" eb="97">
      <t>ヒョウ</t>
    </rPh>
    <rPh sb="97" eb="99">
      <t>コウセイ</t>
    </rPh>
    <rPh sb="100" eb="102">
      <t>ヘンコウ</t>
    </rPh>
    <rPh sb="123" eb="125">
      <t>シュホウ</t>
    </rPh>
    <rPh sb="150" eb="152">
      <t>サクジョ</t>
    </rPh>
    <rPh sb="164" eb="165">
      <t>スベ</t>
    </rPh>
    <rPh sb="198" eb="200">
      <t>スウシキ</t>
    </rPh>
    <rPh sb="236" eb="238">
      <t>ジョウケン</t>
    </rPh>
    <rPh sb="238" eb="240">
      <t>ショシキ</t>
    </rPh>
    <rPh sb="241" eb="243">
      <t>ヘンコウ</t>
    </rPh>
    <phoneticPr fontId="4"/>
  </si>
  <si>
    <t>・レビュー手法ごとの参加者の役割明確化のため</t>
    <phoneticPr fontId="4"/>
  </si>
  <si>
    <t>レビューの必須観点がすべて検証された。
計画された必須参加者および識者が参加した。
検出された指摘・不具合がすべて対策要否判断されており、対策要の物について修正、確認された。
成果物要件で定義された項目が全て記入されている。
以上の確認をもって、レビューの終了を判断し、PMが承認する。</t>
    <phoneticPr fontId="4"/>
  </si>
  <si>
    <t>・レビュー対象成果物が揃っている。
・上位文書・関連文書が揃っている。
・計画されたレビュー参加者が出席している。</t>
    <rPh sb="7" eb="10">
      <t>セイカブツ</t>
    </rPh>
    <phoneticPr fontId="4"/>
  </si>
  <si>
    <t>2.18</t>
    <phoneticPr fontId="4"/>
  </si>
  <si>
    <t>加納</t>
    <phoneticPr fontId="4"/>
  </si>
  <si>
    <t>記録#1シート、記録#TMPシート
・”レビューの開始条件”を追加。</t>
    <rPh sb="31" eb="33">
      <t>ツイカ</t>
    </rPh>
    <phoneticPr fontId="4"/>
  </si>
  <si>
    <t>・DNレビューガイドラインの反映</t>
    <rPh sb="14" eb="16">
      <t>ハンエイ</t>
    </rPh>
    <phoneticPr fontId="4"/>
  </si>
  <si>
    <t>レビューの開始条件</t>
    <rPh sb="5" eb="7">
      <t>カイシ</t>
    </rPh>
    <rPh sb="7" eb="9">
      <t>ジョウケン</t>
    </rPh>
    <phoneticPr fontId="4"/>
  </si>
  <si>
    <t>■レビューの開始条件・終了条件</t>
    <rPh sb="6" eb="8">
      <t>カイシ</t>
    </rPh>
    <rPh sb="8" eb="10">
      <t>ジョウケン</t>
    </rPh>
    <rPh sb="11" eb="13">
      <t>シュウリョウ</t>
    </rPh>
    <rPh sb="13" eb="15">
      <t>ジョウケン</t>
    </rPh>
    <phoneticPr fontId="4"/>
  </si>
  <si>
    <t>※開始条件・終了条件の追加は可（削除・変更は不可）</t>
    <rPh sb="1" eb="3">
      <t>カイシ</t>
    </rPh>
    <rPh sb="3" eb="5">
      <t>ジョウケン</t>
    </rPh>
    <rPh sb="6" eb="8">
      <t>シュウリョウ</t>
    </rPh>
    <rPh sb="8" eb="10">
      <t>ジョウケン</t>
    </rPh>
    <rPh sb="11" eb="13">
      <t>ツイカ</t>
    </rPh>
    <rPh sb="14" eb="15">
      <t>カ</t>
    </rPh>
    <rPh sb="16" eb="18">
      <t>サクジョ</t>
    </rPh>
    <rPh sb="19" eb="21">
      <t>ヘンコウ</t>
    </rPh>
    <rPh sb="22" eb="24">
      <t>フカ</t>
    </rPh>
    <phoneticPr fontId="4"/>
  </si>
  <si>
    <t>■</t>
    <phoneticPr fontId="4"/>
  </si>
  <si>
    <t>メール作成ツール</t>
    <rPh sb="3" eb="5">
      <t>サクセイ</t>
    </rPh>
    <phoneticPr fontId="4"/>
  </si>
  <si>
    <t>Outlookの予定に、セルをまるごとコピペで貼れます</t>
    <rPh sb="8" eb="10">
      <t>ヨテイ</t>
    </rPh>
    <rPh sb="23" eb="24">
      <t>ハ</t>
    </rPh>
    <phoneticPr fontId="63"/>
  </si>
  <si>
    <t>件名</t>
    <rPh sb="0" eb="2">
      <t>ケンメイ</t>
    </rPh>
    <phoneticPr fontId="4"/>
  </si>
  <si>
    <t>宛先</t>
    <rPh sb="0" eb="2">
      <t>アテサキ</t>
    </rPh>
    <phoneticPr fontId="4"/>
  </si>
  <si>
    <t>CC</t>
    <phoneticPr fontId="4"/>
  </si>
  <si>
    <t>本文</t>
    <rPh sb="0" eb="2">
      <t>ホンブン</t>
    </rPh>
    <phoneticPr fontId="4"/>
  </si>
  <si>
    <t>送信者</t>
    <rPh sb="0" eb="3">
      <t>ソウシンシャ</t>
    </rPh>
    <phoneticPr fontId="4"/>
  </si>
  <si>
    <t>中村</t>
    <rPh sb="0" eb="2">
      <t>ナカムラ</t>
    </rPh>
    <phoneticPr fontId="4"/>
  </si>
  <si>
    <t>案件名</t>
    <rPh sb="0" eb="3">
      <t>アンケンメイ</t>
    </rPh>
    <phoneticPr fontId="63"/>
  </si>
  <si>
    <t>ツール改善</t>
    <rPh sb="3" eb="5">
      <t>カイゼン</t>
    </rPh>
    <phoneticPr fontId="63"/>
  </si>
  <si>
    <t>アイテム名</t>
    <rPh sb="4" eb="5">
      <t>メイ</t>
    </rPh>
    <phoneticPr fontId="4"/>
  </si>
  <si>
    <t>製作</t>
    <rPh sb="0" eb="2">
      <t>セイサク</t>
    </rPh>
    <phoneticPr fontId="63"/>
  </si>
  <si>
    <t>レビューの目的</t>
    <phoneticPr fontId="63"/>
  </si>
  <si>
    <t>項目毎の時間の割振り</t>
    <phoneticPr fontId="63"/>
  </si>
  <si>
    <t>・abc.m：0.5H
・def.m：0.5H</t>
    <phoneticPr fontId="63"/>
  </si>
  <si>
    <t>工数入力タスク</t>
    <rPh sb="0" eb="2">
      <t>コウスウ</t>
    </rPh>
    <rPh sb="2" eb="4">
      <t>ニュウリョク</t>
    </rPh>
    <phoneticPr fontId="63"/>
  </si>
  <si>
    <t>http:~</t>
    <phoneticPr fontId="63"/>
  </si>
  <si>
    <t>レビューの種類</t>
    <rPh sb="5" eb="7">
      <t>シュルイ</t>
    </rPh>
    <phoneticPr fontId="63"/>
  </si>
  <si>
    <t>内部</t>
    <rPh sb="0" eb="2">
      <t>ナイブ</t>
    </rPh>
    <phoneticPr fontId="63"/>
  </si>
  <si>
    <t>←内部or品質設計</t>
    <rPh sb="1" eb="3">
      <t>ナイブ</t>
    </rPh>
    <rPh sb="5" eb="7">
      <t>ヒンシツ</t>
    </rPh>
    <rPh sb="7" eb="9">
      <t>セッケイ</t>
    </rPh>
    <phoneticPr fontId="63"/>
  </si>
  <si>
    <t>■</t>
  </si>
  <si>
    <t>水色のセルを入力し［メール作成］ボタンを押下する</t>
    <rPh sb="0" eb="2">
      <t>ミズイロ</t>
    </rPh>
    <rPh sb="6" eb="8">
      <t>ニュウリョク</t>
    </rPh>
    <rPh sb="13" eb="15">
      <t>サクセイ</t>
    </rPh>
    <rPh sb="20" eb="22">
      <t>オウカ</t>
    </rPh>
    <phoneticPr fontId="4"/>
  </si>
  <si>
    <t>宛先・CCはメール作成後、必要に応じ追加／削除する</t>
    <rPh sb="0" eb="2">
      <t>アテサキ</t>
    </rPh>
    <rPh sb="9" eb="12">
      <t>サクセイゴ</t>
    </rPh>
    <rPh sb="13" eb="15">
      <t>ヒツヨウ</t>
    </rPh>
    <rPh sb="16" eb="17">
      <t>オウ</t>
    </rPh>
    <rPh sb="18" eb="20">
      <t>ツイカ</t>
    </rPh>
    <rPh sb="21" eb="23">
      <t>サクジョ</t>
    </rPh>
    <phoneticPr fontId="4"/>
  </si>
  <si>
    <t>Saito Kazuya(斎藤一哉)</t>
    <phoneticPr fontId="4"/>
  </si>
  <si>
    <t>CC</t>
  </si>
  <si>
    <t>■次工程への影響
当初想定していたよりも機能が増減していないかを確認し、次工程以降での計画変更要否を判断する。
計画通りで対応可能な見込みかどうかを確認すること。
■自己採点結果
100点満点中、何点の出来かを判断。
理由も書くこと。</t>
    <rPh sb="1" eb="4">
      <t>ジコウテイ</t>
    </rPh>
    <rPh sb="6" eb="8">
      <t>エイキョウ</t>
    </rPh>
    <rPh sb="9" eb="11">
      <t>トウショ</t>
    </rPh>
    <rPh sb="11" eb="13">
      <t>ソウテイ</t>
    </rPh>
    <rPh sb="20" eb="22">
      <t>キノウ</t>
    </rPh>
    <rPh sb="23" eb="25">
      <t>ゾウゲン</t>
    </rPh>
    <rPh sb="32" eb="34">
      <t>カクニン</t>
    </rPh>
    <rPh sb="36" eb="39">
      <t>ジコウテイ</t>
    </rPh>
    <rPh sb="39" eb="41">
      <t>イコウ</t>
    </rPh>
    <rPh sb="43" eb="47">
      <t>ケイカクヘンコウ</t>
    </rPh>
    <rPh sb="47" eb="49">
      <t>ヨウヒ</t>
    </rPh>
    <rPh sb="50" eb="52">
      <t>ハンダン</t>
    </rPh>
    <rPh sb="84" eb="90">
      <t>ジコサイテンケッカ</t>
    </rPh>
    <rPh sb="97" eb="98">
      <t>チュウ</t>
    </rPh>
    <rPh sb="99" eb="101">
      <t>ナンテン</t>
    </rPh>
    <phoneticPr fontId="4"/>
  </si>
  <si>
    <t>共通</t>
    <rPh sb="0" eb="2">
      <t>キョウツウ</t>
    </rPh>
    <phoneticPr fontId="4"/>
  </si>
  <si>
    <t>←アイテム名を選択。</t>
    <rPh sb="5" eb="6">
      <t>メイ</t>
    </rPh>
    <rPh sb="7" eb="9">
      <t>センタク</t>
    </rPh>
    <phoneticPr fontId="4"/>
  </si>
  <si>
    <t>←工程を入力。</t>
    <rPh sb="1" eb="3">
      <t>コウテイ</t>
    </rPh>
    <rPh sb="4" eb="6">
      <t>ニュウリョク</t>
    </rPh>
    <phoneticPr fontId="4"/>
  </si>
  <si>
    <t>名前</t>
    <rPh sb="0" eb="2">
      <t>ナマエ</t>
    </rPh>
    <phoneticPr fontId="4"/>
  </si>
  <si>
    <t>xxx</t>
    <phoneticPr fontId="4"/>
  </si>
  <si>
    <t>←自身の名前を入力</t>
    <rPh sb="1" eb="3">
      <t>ジシン</t>
    </rPh>
    <rPh sb="4" eb="6">
      <t>ナマエ</t>
    </rPh>
    <rPh sb="7" eb="9">
      <t>ニュウリョク</t>
    </rPh>
    <phoneticPr fontId="4"/>
  </si>
  <si>
    <t>プロジェクト番号</t>
    <rPh sb="6" eb="8">
      <t>バンゴウ</t>
    </rPh>
    <phoneticPr fontId="4"/>
  </si>
  <si>
    <t>←案件毎に固定</t>
    <rPh sb="1" eb="3">
      <t>アンケン</t>
    </rPh>
    <rPh sb="3" eb="4">
      <t>ゴト</t>
    </rPh>
    <rPh sb="5" eb="7">
      <t>コテイ</t>
    </rPh>
    <phoneticPr fontId="4"/>
  </si>
  <si>
    <t>プロジェクト名</t>
    <rPh sb="6" eb="7">
      <t>メイ</t>
    </rPh>
    <phoneticPr fontId="4"/>
  </si>
  <si>
    <t>レビュー管理表パス</t>
    <rPh sb="4" eb="6">
      <t>カンリ</t>
    </rPh>
    <rPh sb="6" eb="7">
      <t>ヒョウ</t>
    </rPh>
    <phoneticPr fontId="4"/>
  </si>
  <si>
    <t>←本ファイルのパスを自動取得</t>
    <rPh sb="1" eb="2">
      <t>ホン</t>
    </rPh>
    <rPh sb="10" eb="12">
      <t>ジドウ</t>
    </rPh>
    <rPh sb="12" eb="14">
      <t>シュトク</t>
    </rPh>
    <phoneticPr fontId="4"/>
  </si>
  <si>
    <t>トレーサビリティマトリクス</t>
    <phoneticPr fontId="4"/>
  </si>
  <si>
    <t>file://\\dcinc.local\develop\project\P60589xxx\エンジニアリング\07_R2.40・R0.70開発\R2.40開発_トレーサビリティ記録シート.xlsm</t>
    <phoneticPr fontId="4"/>
  </si>
  <si>
    <t>入力文書の誤解釈</t>
  </si>
  <si>
    <t>ソフト構造不良</t>
  </si>
  <si>
    <t>I/F不良</t>
  </si>
  <si>
    <t>データ不良</t>
  </si>
  <si>
    <t>処理フロー不良</t>
  </si>
  <si>
    <t>記述漏れ・処理抜け</t>
  </si>
  <si>
    <t>フェール関連不良</t>
  </si>
  <si>
    <t>ロジック不良</t>
  </si>
  <si>
    <t>コーディング・ミス</t>
  </si>
  <si>
    <t>排他不良</t>
  </si>
  <si>
    <t>効率性</t>
  </si>
  <si>
    <t>保守性</t>
  </si>
  <si>
    <t>移植性</t>
  </si>
  <si>
    <t>No</t>
    <phoneticPr fontId="4"/>
  </si>
  <si>
    <t>AAA</t>
    <phoneticPr fontId="4"/>
  </si>
  <si>
    <t>成果物フォルダへのリンク</t>
  </si>
  <si>
    <t>XXX</t>
    <phoneticPr fontId="63"/>
  </si>
  <si>
    <t>記録#1</t>
    <rPh sb="0" eb="2">
      <t>キロク</t>
    </rPh>
    <phoneticPr fontId="4"/>
  </si>
  <si>
    <t>ピアレビュー管理表シート</t>
    <phoneticPr fontId="4"/>
  </si>
  <si>
    <t>本シートの『ピアレビュー管理表シート』を更新したか</t>
    <rPh sb="0" eb="1">
      <t>ホン</t>
    </rPh>
    <rPh sb="12" eb="14">
      <t>カンリ</t>
    </rPh>
    <rPh sb="14" eb="15">
      <t>ヒョウ</t>
    </rPh>
    <rPh sb="20" eb="22">
      <t>コウシン</t>
    </rPh>
    <phoneticPr fontId="4"/>
  </si>
  <si>
    <t>以下をレビュー管理表に記載したか</t>
    <rPh sb="0" eb="2">
      <t>イカ</t>
    </rPh>
    <rPh sb="7" eb="9">
      <t>カンリ</t>
    </rPh>
    <rPh sb="9" eb="10">
      <t>ヒョウ</t>
    </rPh>
    <rPh sb="11" eb="13">
      <t>キサイ</t>
    </rPh>
    <phoneticPr fontId="4"/>
  </si>
  <si>
    <t>項目</t>
    <rPh sb="0" eb="2">
      <t>コウモク</t>
    </rPh>
    <phoneticPr fontId="4"/>
  </si>
  <si>
    <t>チェック</t>
    <phoneticPr fontId="4"/>
  </si>
  <si>
    <t>・『レビュー計画』</t>
    <phoneticPr fontId="4"/>
  </si>
  <si>
    <t>□送信前チェック</t>
    <phoneticPr fontId="4"/>
  </si>
  <si>
    <t>No</t>
    <phoneticPr fontId="4"/>
  </si>
  <si>
    <t>レビュー案内文面作成ツール</t>
    <rPh sb="4" eb="6">
      <t>アンナイ</t>
    </rPh>
    <rPh sb="6" eb="8">
      <t>ブンメン</t>
    </rPh>
    <rPh sb="8" eb="10">
      <t>サクセイ</t>
    </rPh>
    <phoneticPr fontId="4"/>
  </si>
  <si>
    <t>赤枠を記入する</t>
    <rPh sb="0" eb="1">
      <t>アカ</t>
    </rPh>
    <rPh sb="1" eb="2">
      <t>ワク</t>
    </rPh>
    <rPh sb="3" eb="5">
      <t>キニュウ</t>
    </rPh>
    <phoneticPr fontId="63"/>
  </si>
  <si>
    <t>&lt;成果物フォルダへのリンク&gt;</t>
    <phoneticPr fontId="4"/>
  </si>
  <si>
    <t>・『観点の網羅性』※1</t>
    <rPh sb="2" eb="4">
      <t>カンテン</t>
    </rPh>
    <phoneticPr fontId="4"/>
  </si>
  <si>
    <t>※1過去トラと同様にLRファイルにも指摘として記載し、エビデンスにはそのLFファイルのリンクを貼れば良い</t>
    <rPh sb="2" eb="4">
      <t>カコ</t>
    </rPh>
    <rPh sb="7" eb="9">
      <t>ドウヨウ</t>
    </rPh>
    <rPh sb="18" eb="20">
      <t>シテキ</t>
    </rPh>
    <rPh sb="23" eb="25">
      <t>キサイ</t>
    </rPh>
    <rPh sb="47" eb="48">
      <t>ハ</t>
    </rPh>
    <rPh sb="50" eb="51">
      <t>ヨ</t>
    </rPh>
    <phoneticPr fontId="4"/>
  </si>
  <si>
    <t>表紙シートのプロジェクト番号が記載されているか</t>
    <rPh sb="0" eb="2">
      <t>ヒョウシ</t>
    </rPh>
    <rPh sb="12" eb="14">
      <t>バンゴウ</t>
    </rPh>
    <rPh sb="15" eb="17">
      <t>キサイ</t>
    </rPh>
    <phoneticPr fontId="4"/>
  </si>
  <si>
    <t>成果量（計画）</t>
    <rPh sb="0" eb="2">
      <t>セイカ</t>
    </rPh>
    <rPh sb="2" eb="3">
      <t>リョウ</t>
    </rPh>
    <phoneticPr fontId="4"/>
  </si>
  <si>
    <t>成果量（実績）</t>
    <rPh sb="0" eb="2">
      <t>セイカ</t>
    </rPh>
    <rPh sb="2" eb="3">
      <t>リョウ</t>
    </rPh>
    <rPh sb="4" eb="6">
      <t>ジッセキ</t>
    </rPh>
    <phoneticPr fontId="4"/>
  </si>
  <si>
    <t>ドキュメント品質指摘件数</t>
    <rPh sb="6" eb="8">
      <t>ヒンシツ</t>
    </rPh>
    <rPh sb="8" eb="10">
      <t>シテキ</t>
    </rPh>
    <rPh sb="10" eb="12">
      <t>ケンスウ</t>
    </rPh>
    <phoneticPr fontId="4"/>
  </si>
  <si>
    <t>ドキュメント品質指摘件数</t>
  </si>
  <si>
    <t>ドキュメント品質指摘件数</t>
    <phoneticPr fontId="4"/>
  </si>
  <si>
    <t>年月</t>
    <rPh sb="0" eb="2">
      <t>ネンゲツ</t>
    </rPh>
    <phoneticPr fontId="4"/>
  </si>
  <si>
    <t>ドキュメント品質指摘</t>
    <phoneticPr fontId="4"/>
  </si>
  <si>
    <t>ドキュメント品質指摘/成果</t>
    <rPh sb="6" eb="10">
      <t>ヒンシツシテキ</t>
    </rPh>
    <rPh sb="11" eb="13">
      <t>セイカ</t>
    </rPh>
    <phoneticPr fontId="4"/>
  </si>
  <si>
    <t>ドキュメント品質指摘</t>
    <phoneticPr fontId="4"/>
  </si>
  <si>
    <t>ドキュメント品質指摘</t>
    <phoneticPr fontId="4"/>
  </si>
  <si>
    <t>■レビュー承認手順</t>
    <rPh sb="5" eb="7">
      <t>ショウニン</t>
    </rPh>
    <rPh sb="7" eb="9">
      <t>テジュン</t>
    </rPh>
    <phoneticPr fontId="4"/>
  </si>
  <si>
    <t>【Step１】レビューワ承認</t>
  </si>
  <si>
    <t>【Step2】PM承認</t>
  </si>
  <si>
    <t>[LightningReviewファイルインポート後の変更点]</t>
    <rPh sb="25" eb="26">
      <t>ゴ</t>
    </rPh>
    <rPh sb="27" eb="29">
      <t>ヘンコウ</t>
    </rPh>
    <rPh sb="29" eb="30">
      <t>テン</t>
    </rPh>
    <phoneticPr fontId="4"/>
  </si>
  <si>
    <t>LightningReviewファイルをレビューアに送付し、承認を得る。</t>
    <rPh sb="26" eb="28">
      <t>ソウフ</t>
    </rPh>
    <rPh sb="33" eb="34">
      <t>エ</t>
    </rPh>
    <phoneticPr fontId="4"/>
  </si>
  <si>
    <t>（全項目ステータスを確認済み(青)にする）</t>
  </si>
  <si>
    <t>ピアレビュー管理票(本ファイル)にLightningReviewファイルをインポートし、PMに承認を得る。</t>
    <rPh sb="10" eb="11">
      <t>ホン</t>
    </rPh>
    <rPh sb="50" eb="51">
      <t>エ</t>
    </rPh>
    <phoneticPr fontId="4"/>
  </si>
  <si>
    <t>何回目</t>
  </si>
  <si>
    <t>対応する数字</t>
  </si>
  <si>
    <t>対象成果物番号</t>
  </si>
  <si>
    <t>対応する成果物番号</t>
  </si>
  <si>
    <t>対策見積工数</t>
  </si>
  <si>
    <t>対策内容</t>
  </si>
  <si>
    <t>左記の通り対策した。</t>
  </si>
  <si>
    <t>同一／類似不具合対策結果</t>
  </si>
  <si>
    <t>左記の通り対策した</t>
  </si>
  <si>
    <t>対策実績工数</t>
  </si>
  <si>
    <t>対策状況</t>
  </si>
  <si>
    <t>完了</t>
  </si>
  <si>
    <t>確認結果</t>
  </si>
  <si>
    <t>OK</t>
  </si>
  <si>
    <t>設定値</t>
    <rPh sb="0" eb="3">
      <t>セッテイチ</t>
    </rPh>
    <phoneticPr fontId="4"/>
  </si>
  <si>
    <t>シート上の警告が消えた状態で、「承認依頼」シートで作成したメールをPMに送付する。</t>
    <rPh sb="16" eb="18">
      <t>ショウニン</t>
    </rPh>
    <rPh sb="18" eb="20">
      <t>イライ</t>
    </rPh>
    <rPh sb="25" eb="27">
      <t>サクセイ</t>
    </rPh>
    <rPh sb="36" eb="38">
      <t>ソウフ</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</si>
</sst>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 "/>
    <numFmt numFmtId="177" formatCode="0.0_ "/>
    <numFmt numFmtId="178" formatCode="0_);[Red]\(0\)"/>
    <numFmt numFmtId="179" formatCode="0.0_);[Red]\(0.0\)"/>
    <numFmt numFmtId="180" formatCode="yyyy/m/d\(aaa\)"/>
    <numFmt numFmtId="181" formatCode="yy/mm/dd"/>
    <numFmt numFmtId="182" formatCode="yy/m/d\(aaa\)"/>
  </numFmts>
  <fonts count="67">
    <font>
      <sz val="11"/>
      <name val="ＭＳ Ｐゴシック"/>
      <family val="3"/>
      <charset val="128"/>
    </font>
    <font>
      <sz val="11"/>
      <color theme="1"/>
      <name val="ＭＳ Ｐゴシック"/>
      <family val="2"/>
      <charset val="128"/>
      <scheme val="minor"/>
    </font>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14"/>
      <name val="ＭＳ 明朝"/>
      <family val="1"/>
      <charset val="128"/>
    </font>
    <font>
      <sz val="10"/>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4"/>
      <name val="ＭＳ Ｐゴシック"/>
      <family val="3"/>
      <charset val="128"/>
    </font>
    <font>
      <sz val="11"/>
      <color indexed="12"/>
      <name val="ＭＳ Ｐゴシック"/>
      <family val="3"/>
      <charset val="128"/>
    </font>
    <font>
      <sz val="9"/>
      <name val="ＭＳ Ｐゴシック"/>
      <family val="3"/>
      <charset val="128"/>
    </font>
    <font>
      <sz val="9"/>
      <color indexed="9"/>
      <name val="ＭＳ Ｐゴシック"/>
      <family val="3"/>
      <charset val="128"/>
    </font>
    <font>
      <sz val="9"/>
      <color indexed="8"/>
      <name val="ＭＳ Ｐゴシック"/>
      <family val="3"/>
      <charset val="128"/>
    </font>
    <font>
      <b/>
      <sz val="16"/>
      <name val="ＭＳ Ｐゴシック"/>
      <family val="3"/>
      <charset val="128"/>
    </font>
    <font>
      <u/>
      <sz val="10"/>
      <color indexed="12"/>
      <name val="ＭＳ Ｐゴシック"/>
      <family val="3"/>
      <charset val="128"/>
    </font>
    <font>
      <strike/>
      <sz val="9"/>
      <name val="ＭＳ Ｐゴシック"/>
      <family val="3"/>
      <charset val="128"/>
    </font>
    <font>
      <b/>
      <sz val="9"/>
      <name val="ＭＳ Ｐゴシック"/>
      <family val="3"/>
      <charset val="128"/>
    </font>
    <font>
      <u/>
      <sz val="9"/>
      <color indexed="12"/>
      <name val="ＭＳ Ｐゴシック"/>
      <family val="3"/>
      <charset val="128"/>
    </font>
    <font>
      <sz val="22"/>
      <name val="ＭＳ Ｐゴシック"/>
      <family val="3"/>
      <charset val="128"/>
    </font>
    <font>
      <b/>
      <sz val="9"/>
      <color indexed="9"/>
      <name val="ＭＳ Ｐゴシック"/>
      <family val="3"/>
      <charset val="128"/>
    </font>
    <font>
      <b/>
      <sz val="9"/>
      <color indexed="53"/>
      <name val="ＭＳ Ｐゴシック"/>
      <family val="3"/>
      <charset val="128"/>
    </font>
    <font>
      <sz val="9"/>
      <color indexed="53"/>
      <name val="ＭＳ Ｐゴシック"/>
      <family val="3"/>
      <charset val="128"/>
    </font>
    <font>
      <sz val="10"/>
      <color indexed="10"/>
      <name val="ＭＳ Ｐゴシック"/>
      <family val="3"/>
      <charset val="128"/>
    </font>
    <font>
      <sz val="10"/>
      <color indexed="53"/>
      <name val="ＭＳ Ｐゴシック"/>
      <family val="3"/>
      <charset val="128"/>
    </font>
    <font>
      <sz val="11"/>
      <color rgb="FF000000"/>
      <name val="ＭＳ Ｐゴシック"/>
      <family val="3"/>
      <charset val="128"/>
    </font>
    <font>
      <b/>
      <sz val="11"/>
      <color rgb="FFFF0000"/>
      <name val="Calibri"/>
      <family val="2"/>
    </font>
    <font>
      <sz val="9"/>
      <color theme="0"/>
      <name val="ＭＳ Ｐゴシック"/>
      <family val="3"/>
      <charset val="128"/>
    </font>
    <font>
      <sz val="10"/>
      <name val="ＭＳ Ｐゴシック"/>
      <family val="3"/>
      <charset val="128"/>
      <scheme val="minor"/>
    </font>
    <font>
      <sz val="22"/>
      <name val="ＭＳ Ｐゴシック"/>
      <family val="3"/>
      <charset val="128"/>
      <scheme val="minor"/>
    </font>
    <font>
      <b/>
      <sz val="14"/>
      <name val="ＭＳ Ｐゴシック"/>
      <family val="3"/>
      <charset val="128"/>
      <scheme val="minor"/>
    </font>
    <font>
      <b/>
      <sz val="10"/>
      <name val="ＭＳ Ｐゴシック"/>
      <family val="3"/>
      <charset val="128"/>
      <scheme val="minor"/>
    </font>
    <font>
      <b/>
      <u/>
      <sz val="14"/>
      <name val="ＭＳ Ｐゴシック"/>
      <family val="3"/>
      <charset val="128"/>
      <scheme val="minor"/>
    </font>
    <font>
      <sz val="11"/>
      <name val="ＭＳ Ｐゴシック"/>
      <family val="3"/>
      <charset val="128"/>
      <scheme val="minor"/>
    </font>
    <font>
      <sz val="9"/>
      <name val="ＭＳ Ｐゴシック"/>
      <family val="3"/>
      <charset val="128"/>
      <scheme val="minor"/>
    </font>
    <font>
      <sz val="11"/>
      <name val="ＭＳ Ｐゴシック"/>
      <family val="3"/>
      <charset val="128"/>
      <scheme val="major"/>
    </font>
    <font>
      <u/>
      <sz val="11"/>
      <color indexed="12"/>
      <name val="ＭＳ Ｐゴシック"/>
      <family val="3"/>
      <charset val="128"/>
      <scheme val="major"/>
    </font>
    <font>
      <sz val="9"/>
      <name val="ＭＳ Ｐゴシック"/>
      <family val="3"/>
      <charset val="128"/>
      <scheme val="major"/>
    </font>
    <font>
      <sz val="22"/>
      <name val="ＭＳ Ｐゴシック"/>
      <family val="3"/>
      <charset val="128"/>
      <scheme val="major"/>
    </font>
    <font>
      <sz val="14"/>
      <name val="ＭＳ Ｐゴシック"/>
      <family val="3"/>
      <charset val="128"/>
      <scheme val="major"/>
    </font>
    <font>
      <sz val="11"/>
      <color indexed="10"/>
      <name val="ＭＳ Ｐゴシック"/>
      <family val="3"/>
      <charset val="128"/>
      <scheme val="major"/>
    </font>
    <font>
      <b/>
      <sz val="22"/>
      <name val="ＭＳ Ｐゴシック"/>
      <family val="3"/>
      <charset val="128"/>
      <scheme val="major"/>
    </font>
    <font>
      <b/>
      <sz val="14"/>
      <name val="ＭＳ Ｐゴシック"/>
      <family val="3"/>
      <charset val="128"/>
      <scheme val="major"/>
    </font>
    <font>
      <sz val="11"/>
      <color indexed="8"/>
      <name val="ＭＳ Ｐゴシック"/>
      <family val="3"/>
      <charset val="128"/>
      <scheme val="major"/>
    </font>
    <font>
      <sz val="11"/>
      <color theme="1"/>
      <name val="ＭＳ Ｐゴシック"/>
      <family val="2"/>
      <scheme val="minor"/>
    </font>
    <font>
      <sz val="6"/>
      <name val="ＭＳ Ｐゴシック"/>
      <family val="3"/>
      <charset val="128"/>
      <scheme val="minor"/>
    </font>
    <font>
      <sz val="11"/>
      <color theme="1"/>
      <name val="ＭＳゴシック"/>
      <family val="3"/>
      <charset val="128"/>
    </font>
    <font>
      <b/>
      <sz val="11"/>
      <color rgb="FFFF0000"/>
      <name val="ＭＳ Ｐゴシック"/>
      <family val="3"/>
      <charset val="128"/>
    </font>
    <font>
      <sz val="11"/>
      <color rgb="FFFF0000"/>
      <name val="ＭＳ Ｐゴシック"/>
      <family val="3"/>
      <charset val="128"/>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61"/>
        <bgColor indexed="64"/>
      </patternFill>
    </fill>
    <fill>
      <patternFill patternType="solid">
        <fgColor indexed="43"/>
        <bgColor indexed="64"/>
      </patternFill>
    </fill>
    <fill>
      <patternFill patternType="solid">
        <fgColor indexed="41"/>
        <bgColor indexed="64"/>
      </patternFill>
    </fill>
    <fill>
      <patternFill patternType="solid">
        <fgColor indexed="10"/>
        <bgColor indexed="64"/>
      </patternFill>
    </fill>
    <fill>
      <patternFill patternType="solid">
        <fgColor indexed="44"/>
        <bgColor indexed="64"/>
      </patternFill>
    </fill>
    <fill>
      <patternFill patternType="solid">
        <fgColor indexed="15"/>
        <bgColor indexed="64"/>
      </patternFill>
    </fill>
    <fill>
      <patternFill patternType="solid">
        <fgColor indexed="45"/>
        <bgColor indexed="64"/>
      </patternFill>
    </fill>
    <fill>
      <patternFill patternType="solid">
        <fgColor indexed="42"/>
        <bgColor indexed="64"/>
      </patternFill>
    </fill>
    <fill>
      <patternFill patternType="solid">
        <fgColor indexed="26"/>
        <bgColor indexed="64"/>
      </patternFill>
    </fill>
    <fill>
      <patternFill patternType="solid">
        <fgColor indexed="65"/>
        <bgColor indexed="64"/>
      </patternFill>
    </fill>
    <fill>
      <patternFill patternType="solid">
        <fgColor rgb="FFCCFFCC"/>
        <bgColor indexed="64"/>
      </patternFill>
    </fill>
    <fill>
      <patternFill patternType="solid">
        <fgColor rgb="FFFFFF99"/>
        <bgColor indexed="64"/>
      </patternFill>
    </fill>
    <fill>
      <patternFill patternType="solid">
        <fgColor rgb="FFC0C0C0"/>
        <bgColor indexed="64"/>
      </patternFill>
    </fill>
    <fill>
      <patternFill patternType="solid">
        <fgColor rgb="FFFFCCFF"/>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CCFFFF"/>
        <bgColor indexed="64"/>
      </patternFill>
    </fill>
    <fill>
      <patternFill patternType="solid">
        <fgColor theme="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39">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bottom/>
      <diagonal/>
    </border>
    <border>
      <left style="medium">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style="double">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dashed">
        <color indexed="64"/>
      </bottom>
      <diagonal/>
    </border>
    <border>
      <left style="thin">
        <color indexed="64"/>
      </left>
      <right style="thin">
        <color indexed="64"/>
      </right>
      <top style="double">
        <color indexed="64"/>
      </top>
      <bottom style="dashed">
        <color indexed="64"/>
      </bottom>
      <diagonal/>
    </border>
    <border>
      <left style="thin">
        <color indexed="64"/>
      </left>
      <right/>
      <top style="double">
        <color indexed="64"/>
      </top>
      <bottom style="dashed">
        <color indexed="64"/>
      </bottom>
      <diagonal/>
    </border>
    <border>
      <left style="thin">
        <color indexed="64"/>
      </left>
      <right style="medium">
        <color indexed="64"/>
      </right>
      <top style="double">
        <color indexed="64"/>
      </top>
      <bottom style="dashed">
        <color indexed="64"/>
      </bottom>
      <diagonal/>
    </border>
    <border>
      <left style="medium">
        <color indexed="64"/>
      </left>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top style="dashed">
        <color indexed="64"/>
      </top>
      <bottom/>
      <diagonal/>
    </border>
    <border>
      <left style="thin">
        <color indexed="64"/>
      </left>
      <right style="medium">
        <color indexed="64"/>
      </right>
      <top style="dashed">
        <color indexed="64"/>
      </top>
      <bottom style="dashed">
        <color indexed="64"/>
      </bottom>
      <diagonal/>
    </border>
    <border>
      <left style="thin">
        <color indexed="64"/>
      </left>
      <right/>
      <top style="dashed">
        <color indexed="64"/>
      </top>
      <bottom style="dashed">
        <color indexed="64"/>
      </bottom>
      <diagonal/>
    </border>
    <border>
      <left style="thin">
        <color indexed="64"/>
      </left>
      <right style="medium">
        <color indexed="64"/>
      </right>
      <top style="dashed">
        <color indexed="64"/>
      </top>
      <bottom/>
      <diagonal/>
    </border>
    <border>
      <left style="medium">
        <color indexed="64"/>
      </left>
      <right/>
      <top style="dashed">
        <color indexed="64"/>
      </top>
      <bottom/>
      <diagonal/>
    </border>
    <border>
      <left style="medium">
        <color indexed="64"/>
      </left>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thin">
        <color indexed="64"/>
      </left>
      <right style="thin">
        <color indexed="64"/>
      </right>
      <top/>
      <bottom style="dashed">
        <color indexed="64"/>
      </bottom>
      <diagonal/>
    </border>
    <border>
      <left style="thin">
        <color indexed="64"/>
      </left>
      <right/>
      <top/>
      <bottom style="dashed">
        <color indexed="64"/>
      </bottom>
      <diagonal/>
    </border>
    <border>
      <left style="medium">
        <color indexed="64"/>
      </left>
      <right style="thin">
        <color indexed="64"/>
      </right>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diagonal/>
    </border>
    <border>
      <left style="medium">
        <color indexed="64"/>
      </left>
      <right style="thin">
        <color indexed="64"/>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double">
        <color indexed="64"/>
      </left>
      <right/>
      <top style="medium">
        <color indexed="64"/>
      </top>
      <bottom style="thin">
        <color indexed="64"/>
      </bottom>
      <diagonal/>
    </border>
    <border>
      <left style="double">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double">
        <color indexed="64"/>
      </bottom>
      <diagonal/>
    </border>
    <border>
      <left style="double">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medium">
        <color indexed="64"/>
      </right>
      <top/>
      <bottom style="double">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63">
    <xf numFmtId="0" fontId="0" fillId="0" borderId="0"/>
    <xf numFmtId="0" fontId="10" fillId="2" borderId="0" applyNumberFormat="0" applyBorder="0" applyAlignment="0" applyProtection="0">
      <alignment vertical="center"/>
    </xf>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5" borderId="0" applyNumberFormat="0" applyBorder="0" applyAlignment="0" applyProtection="0">
      <alignment vertical="center"/>
    </xf>
    <xf numFmtId="0" fontId="10" fillId="8" borderId="0" applyNumberFormat="0" applyBorder="0" applyAlignment="0" applyProtection="0">
      <alignment vertical="center"/>
    </xf>
    <xf numFmtId="0" fontId="10" fillId="11" borderId="0" applyNumberFormat="0" applyBorder="0" applyAlignment="0" applyProtection="0">
      <alignment vertical="center"/>
    </xf>
    <xf numFmtId="0" fontId="11" fillId="12"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3"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0" fontId="11" fillId="17" borderId="0" applyNumberFormat="0" applyBorder="0" applyAlignment="0" applyProtection="0">
      <alignment vertical="center"/>
    </xf>
    <xf numFmtId="0" fontId="11" fillId="18" borderId="0" applyNumberFormat="0" applyBorder="0" applyAlignment="0" applyProtection="0">
      <alignment vertical="center"/>
    </xf>
    <xf numFmtId="0" fontId="11" fillId="13" borderId="0" applyNumberFormat="0" applyBorder="0" applyAlignment="0" applyProtection="0">
      <alignment vertical="center"/>
    </xf>
    <xf numFmtId="0" fontId="11" fillId="14" borderId="0" applyNumberFormat="0" applyBorder="0" applyAlignment="0" applyProtection="0">
      <alignment vertical="center"/>
    </xf>
    <xf numFmtId="0" fontId="11" fillId="19" borderId="0" applyNumberFormat="0" applyBorder="0" applyAlignment="0" applyProtection="0">
      <alignment vertical="center"/>
    </xf>
    <xf numFmtId="0" fontId="12" fillId="0" borderId="0" applyNumberFormat="0" applyFill="0" applyBorder="0" applyAlignment="0" applyProtection="0">
      <alignment vertical="center"/>
    </xf>
    <xf numFmtId="0" fontId="13" fillId="20" borderId="1" applyNumberFormat="0" applyAlignment="0" applyProtection="0">
      <alignment vertical="center"/>
    </xf>
    <xf numFmtId="0" fontId="14" fillId="21" borderId="0" applyNumberFormat="0" applyBorder="0" applyAlignment="0" applyProtection="0">
      <alignment vertical="center"/>
    </xf>
    <xf numFmtId="9" fontId="3"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10" fillId="22" borderId="2" applyNumberFormat="0" applyFont="0" applyAlignment="0" applyProtection="0">
      <alignment vertical="center"/>
    </xf>
    <xf numFmtId="0" fontId="15" fillId="0" borderId="3" applyNumberFormat="0" applyFill="0" applyAlignment="0" applyProtection="0">
      <alignment vertical="center"/>
    </xf>
    <xf numFmtId="0" fontId="16" fillId="3" borderId="0" applyNumberFormat="0" applyBorder="0" applyAlignment="0" applyProtection="0">
      <alignment vertical="center"/>
    </xf>
    <xf numFmtId="0" fontId="17" fillId="23" borderId="4" applyNumberFormat="0" applyAlignment="0" applyProtection="0">
      <alignment vertical="center"/>
    </xf>
    <xf numFmtId="0" fontId="18" fillId="0" borderId="0" applyNumberFormat="0" applyFill="0" applyBorder="0" applyAlignment="0" applyProtection="0">
      <alignment vertical="center"/>
    </xf>
    <xf numFmtId="0" fontId="19" fillId="0" borderId="5" applyNumberFormat="0" applyFill="0" applyAlignment="0" applyProtection="0">
      <alignment vertical="center"/>
    </xf>
    <xf numFmtId="0" fontId="20" fillId="0" borderId="6" applyNumberFormat="0" applyFill="0" applyAlignment="0" applyProtection="0">
      <alignment vertical="center"/>
    </xf>
    <xf numFmtId="0" fontId="21" fillId="0" borderId="7" applyNumberFormat="0" applyFill="0" applyAlignment="0" applyProtection="0">
      <alignment vertical="center"/>
    </xf>
    <xf numFmtId="0" fontId="21" fillId="0" borderId="0" applyNumberFormat="0" applyFill="0" applyBorder="0" applyAlignment="0" applyProtection="0">
      <alignment vertical="center"/>
    </xf>
    <xf numFmtId="0" fontId="22" fillId="0" borderId="8" applyNumberFormat="0" applyFill="0" applyAlignment="0" applyProtection="0">
      <alignment vertical="center"/>
    </xf>
    <xf numFmtId="0" fontId="23" fillId="23" borderId="9" applyNumberFormat="0" applyAlignment="0" applyProtection="0">
      <alignment vertical="center"/>
    </xf>
    <xf numFmtId="0" fontId="24" fillId="0" borderId="0" applyNumberFormat="0" applyFill="0" applyBorder="0" applyAlignment="0" applyProtection="0">
      <alignment vertical="center"/>
    </xf>
    <xf numFmtId="0" fontId="25" fillId="7" borderId="4" applyNumberFormat="0" applyAlignment="0" applyProtection="0">
      <alignment vertical="center"/>
    </xf>
    <xf numFmtId="0" fontId="3" fillId="0" borderId="0"/>
    <xf numFmtId="0" fontId="3" fillId="0" borderId="0"/>
    <xf numFmtId="0" fontId="3" fillId="0" borderId="0">
      <alignment vertical="center"/>
    </xf>
    <xf numFmtId="0" fontId="3" fillId="0" borderId="0">
      <alignment vertical="center"/>
    </xf>
    <xf numFmtId="0" fontId="3" fillId="0" borderId="0"/>
    <xf numFmtId="0" fontId="3" fillId="0" borderId="0"/>
    <xf numFmtId="0" fontId="2" fillId="0" borderId="0"/>
    <xf numFmtId="0" fontId="3" fillId="0" borderId="0"/>
    <xf numFmtId="177" fontId="3" fillId="0" borderId="0"/>
    <xf numFmtId="0" fontId="3" fillId="0" borderId="0"/>
    <xf numFmtId="0" fontId="3" fillId="0" borderId="0">
      <alignment vertical="center"/>
    </xf>
    <xf numFmtId="0" fontId="3" fillId="0" borderId="0">
      <alignment vertical="center"/>
    </xf>
    <xf numFmtId="0" fontId="6" fillId="0" borderId="0"/>
    <xf numFmtId="0" fontId="26" fillId="4" borderId="0" applyNumberFormat="0" applyBorder="0" applyAlignment="0" applyProtection="0">
      <alignment vertical="center"/>
    </xf>
    <xf numFmtId="0" fontId="2" fillId="0" borderId="0">
      <alignment vertical="center"/>
    </xf>
    <xf numFmtId="0" fontId="62" fillId="0" borderId="0"/>
    <xf numFmtId="0" fontId="5" fillId="0" borderId="0" applyNumberFormat="0" applyFill="0" applyBorder="0" applyAlignment="0" applyProtection="0">
      <alignment vertical="top"/>
      <protection locked="0"/>
    </xf>
    <xf numFmtId="0" fontId="1" fillId="0" borderId="0">
      <alignment vertical="center"/>
    </xf>
    <xf numFmtId="0" fontId="2" fillId="0" borderId="0">
      <alignment vertical="center"/>
    </xf>
    <xf numFmtId="0" fontId="2" fillId="0" borderId="0">
      <alignment vertical="center"/>
    </xf>
  </cellStyleXfs>
  <cellXfs count="723">
    <xf numFmtId="0" fontId="0" fillId="0" borderId="0" xfId="0"/>
    <xf numFmtId="0" fontId="7" fillId="24" borderId="10" xfId="52" applyFont="1" applyFill="1" applyBorder="1" applyAlignment="1">
      <alignment horizontal="center" vertical="top" wrapText="1"/>
    </xf>
    <xf numFmtId="0" fontId="7" fillId="24" borderId="11" xfId="52" applyFont="1" applyFill="1" applyBorder="1" applyAlignment="1">
      <alignment horizontal="center" vertical="top" wrapText="1"/>
    </xf>
    <xf numFmtId="0" fontId="32" fillId="0" borderId="0" xfId="43" applyFont="1" applyAlignment="1">
      <alignment vertical="center"/>
    </xf>
    <xf numFmtId="0" fontId="29" fillId="26" borderId="0" xfId="45" applyFont="1" applyFill="1" applyAlignment="1">
      <alignment vertical="center" shrinkToFit="1"/>
    </xf>
    <xf numFmtId="0" fontId="33" fillId="26" borderId="0" xfId="29" applyFont="1" applyFill="1" applyAlignment="1" applyProtection="1">
      <alignment vertical="center" shrinkToFit="1"/>
    </xf>
    <xf numFmtId="0" fontId="29" fillId="26" borderId="0" xfId="45" applyFont="1" applyFill="1" applyAlignment="1">
      <alignment horizontal="center" vertical="center" shrinkToFit="1"/>
    </xf>
    <xf numFmtId="0" fontId="37" fillId="0" borderId="0" xfId="43" applyFont="1" applyAlignment="1">
      <alignment vertical="center"/>
    </xf>
    <xf numFmtId="0" fontId="35" fillId="26" borderId="0" xfId="43" applyFont="1" applyFill="1" applyAlignment="1">
      <alignment vertical="top"/>
    </xf>
    <xf numFmtId="0" fontId="29" fillId="26" borderId="0" xfId="45" applyFont="1" applyFill="1" applyAlignment="1">
      <alignment vertical="top" shrinkToFit="1"/>
    </xf>
    <xf numFmtId="0" fontId="29" fillId="28" borderId="34" xfId="45" applyFont="1" applyFill="1" applyBorder="1" applyAlignment="1">
      <alignment horizontal="center" vertical="top" shrinkToFit="1"/>
    </xf>
    <xf numFmtId="0" fontId="29" fillId="26" borderId="0" xfId="45" applyFont="1" applyFill="1" applyAlignment="1">
      <alignment vertical="top"/>
    </xf>
    <xf numFmtId="0" fontId="31" fillId="28" borderId="31" xfId="29" applyFont="1" applyFill="1" applyBorder="1" applyAlignment="1" applyProtection="1">
      <alignment horizontal="center" vertical="top" shrinkToFit="1"/>
    </xf>
    <xf numFmtId="0" fontId="29" fillId="28" borderId="31" xfId="45" applyFont="1" applyFill="1" applyBorder="1" applyAlignment="1">
      <alignment horizontal="center" vertical="top" shrinkToFit="1"/>
    </xf>
    <xf numFmtId="0" fontId="29" fillId="28" borderId="65" xfId="45" applyFont="1" applyFill="1" applyBorder="1" applyAlignment="1">
      <alignment horizontal="center" vertical="top" shrinkToFit="1"/>
    </xf>
    <xf numFmtId="177" fontId="29" fillId="28" borderId="31" xfId="45" quotePrefix="1" applyNumberFormat="1" applyFont="1" applyFill="1" applyBorder="1" applyAlignment="1">
      <alignment horizontal="center" vertical="top" shrinkToFit="1"/>
    </xf>
    <xf numFmtId="0" fontId="31" fillId="28" borderId="48" xfId="29" applyFont="1" applyFill="1" applyBorder="1" applyAlignment="1" applyProtection="1">
      <alignment horizontal="center" vertical="top" shrinkToFit="1"/>
    </xf>
    <xf numFmtId="0" fontId="29" fillId="28" borderId="32" xfId="45" applyFont="1" applyFill="1" applyBorder="1" applyAlignment="1">
      <alignment horizontal="center" vertical="top" shrinkToFit="1"/>
    </xf>
    <xf numFmtId="177" fontId="29" fillId="28" borderId="47" xfId="45" applyNumberFormat="1" applyFont="1" applyFill="1" applyBorder="1" applyAlignment="1">
      <alignment horizontal="center" vertical="top" shrinkToFit="1"/>
    </xf>
    <xf numFmtId="0" fontId="31" fillId="28" borderId="32" xfId="29" applyFont="1" applyFill="1" applyBorder="1" applyAlignment="1" applyProtection="1">
      <alignment horizontal="center" vertical="top" shrinkToFit="1"/>
    </xf>
    <xf numFmtId="177" fontId="29" fillId="28" borderId="32" xfId="45" applyNumberFormat="1" applyFont="1" applyFill="1" applyBorder="1" applyAlignment="1">
      <alignment horizontal="center" vertical="top" shrinkToFit="1"/>
    </xf>
    <xf numFmtId="0" fontId="29" fillId="28" borderId="66" xfId="45" applyFont="1" applyFill="1" applyBorder="1" applyAlignment="1">
      <alignment horizontal="center" vertical="top" shrinkToFit="1"/>
    </xf>
    <xf numFmtId="176" fontId="29" fillId="28" borderId="65" xfId="45" applyNumberFormat="1" applyFont="1" applyFill="1" applyBorder="1" applyAlignment="1">
      <alignment horizontal="center" vertical="top" shrinkToFit="1"/>
    </xf>
    <xf numFmtId="0" fontId="29" fillId="24" borderId="67" xfId="45" applyFont="1" applyFill="1" applyBorder="1" applyAlignment="1">
      <alignment vertical="top" shrinkToFit="1"/>
    </xf>
    <xf numFmtId="0" fontId="31" fillId="24" borderId="47" xfId="29" applyFont="1" applyFill="1" applyBorder="1" applyAlignment="1" applyProtection="1">
      <alignment horizontal="center" vertical="top" shrinkToFit="1"/>
    </xf>
    <xf numFmtId="0" fontId="29" fillId="28" borderId="47" xfId="45" applyFont="1" applyFill="1" applyBorder="1" applyAlignment="1">
      <alignment horizontal="center" vertical="top" shrinkToFit="1"/>
    </xf>
    <xf numFmtId="176" fontId="29" fillId="28" borderId="47" xfId="45" applyNumberFormat="1" applyFont="1" applyFill="1" applyBorder="1" applyAlignment="1">
      <alignment horizontal="center" vertical="top"/>
    </xf>
    <xf numFmtId="0" fontId="36" fillId="26" borderId="0" xfId="29" applyFont="1" applyFill="1" applyAlignment="1" applyProtection="1">
      <alignment vertical="top" shrinkToFit="1"/>
    </xf>
    <xf numFmtId="0" fontId="29" fillId="26" borderId="0" xfId="0" applyFont="1" applyFill="1" applyBorder="1" applyAlignment="1">
      <alignment vertical="top" wrapText="1" shrinkToFit="1"/>
    </xf>
    <xf numFmtId="0" fontId="29" fillId="26" borderId="0" xfId="46" applyFont="1" applyFill="1" applyAlignment="1">
      <alignment horizontal="right" vertical="top"/>
    </xf>
    <xf numFmtId="0" fontId="29" fillId="26" borderId="0" xfId="45" applyFont="1" applyFill="1" applyAlignment="1">
      <alignment horizontal="center" vertical="top" shrinkToFit="1"/>
    </xf>
    <xf numFmtId="0" fontId="38" fillId="0" borderId="0" xfId="45" applyFont="1" applyFill="1" applyAlignment="1">
      <alignment vertical="top"/>
    </xf>
    <xf numFmtId="0" fontId="29" fillId="0" borderId="0" xfId="45" applyFont="1" applyFill="1" applyAlignment="1">
      <alignment vertical="top" shrinkToFit="1"/>
    </xf>
    <xf numFmtId="0" fontId="36" fillId="26" borderId="0" xfId="29" applyFont="1" applyFill="1" applyAlignment="1" applyProtection="1">
      <alignment horizontal="center" vertical="top" shrinkToFit="1"/>
    </xf>
    <xf numFmtId="0" fontId="29" fillId="26" borderId="0" xfId="45" applyFont="1" applyFill="1" applyBorder="1" applyAlignment="1">
      <alignment vertical="top" wrapText="1"/>
    </xf>
    <xf numFmtId="0" fontId="29" fillId="26" borderId="0" xfId="0" applyFont="1" applyFill="1" applyBorder="1" applyAlignment="1">
      <alignment vertical="top"/>
    </xf>
    <xf numFmtId="0" fontId="29" fillId="26" borderId="0" xfId="48" applyFont="1" applyFill="1" applyBorder="1" applyAlignment="1">
      <alignment horizontal="center" vertical="top"/>
    </xf>
    <xf numFmtId="0" fontId="29" fillId="26" borderId="0" xfId="45" applyFont="1" applyFill="1" applyBorder="1" applyAlignment="1">
      <alignment horizontal="center" vertical="top" shrinkToFit="1"/>
    </xf>
    <xf numFmtId="0" fontId="29" fillId="26" borderId="0" xfId="45" applyFont="1" applyFill="1" applyBorder="1" applyAlignment="1">
      <alignment horizontal="center" vertical="top"/>
    </xf>
    <xf numFmtId="0" fontId="29" fillId="26" borderId="0" xfId="0" applyFont="1" applyFill="1" applyBorder="1" applyAlignment="1">
      <alignment horizontal="center" vertical="top"/>
    </xf>
    <xf numFmtId="0" fontId="29" fillId="26" borderId="68" xfId="45" applyFont="1" applyFill="1" applyBorder="1" applyAlignment="1">
      <alignment horizontal="center" vertical="top" shrinkToFit="1"/>
    </xf>
    <xf numFmtId="0" fontId="29" fillId="26" borderId="69" xfId="45" applyFont="1" applyFill="1" applyBorder="1" applyAlignment="1" applyProtection="1">
      <alignment vertical="top" shrinkToFit="1"/>
      <protection locked="0"/>
    </xf>
    <xf numFmtId="0" fontId="29" fillId="26" borderId="69" xfId="45" applyFont="1" applyFill="1" applyBorder="1" applyAlignment="1">
      <alignment horizontal="center" vertical="top" wrapText="1"/>
    </xf>
    <xf numFmtId="0" fontId="29" fillId="26" borderId="40" xfId="45" applyFont="1" applyFill="1" applyBorder="1" applyAlignment="1">
      <alignment horizontal="center" vertical="top" shrinkToFit="1"/>
    </xf>
    <xf numFmtId="0" fontId="29" fillId="26" borderId="10" xfId="45" applyFont="1" applyFill="1" applyBorder="1" applyAlignment="1" applyProtection="1">
      <alignment vertical="top" shrinkToFit="1"/>
      <protection locked="0"/>
    </xf>
    <xf numFmtId="0" fontId="34" fillId="26" borderId="0" xfId="45" applyFont="1" applyFill="1" applyAlignment="1">
      <alignment vertical="top"/>
    </xf>
    <xf numFmtId="0" fontId="35" fillId="26" borderId="0" xfId="45" applyFont="1" applyFill="1" applyAlignment="1">
      <alignment vertical="top"/>
    </xf>
    <xf numFmtId="0" fontId="29" fillId="28" borderId="48" xfId="45" applyFont="1" applyFill="1" applyBorder="1" applyAlignment="1">
      <alignment horizontal="center" vertical="top" shrinkToFit="1"/>
    </xf>
    <xf numFmtId="0" fontId="36" fillId="26" borderId="0" xfId="29" applyFont="1" applyFill="1" applyAlignment="1" applyProtection="1">
      <alignment vertical="top"/>
    </xf>
    <xf numFmtId="0" fontId="10" fillId="26" borderId="0" xfId="45" applyFont="1" applyFill="1" applyAlignment="1">
      <alignment vertical="top"/>
    </xf>
    <xf numFmtId="0" fontId="29" fillId="34" borderId="16" xfId="45" applyFont="1" applyFill="1" applyBorder="1" applyAlignment="1">
      <alignment horizontal="center" vertical="top" shrinkToFit="1"/>
    </xf>
    <xf numFmtId="0" fontId="29" fillId="34" borderId="17" xfId="45" applyFont="1" applyFill="1" applyBorder="1" applyAlignment="1">
      <alignment horizontal="center" vertical="top" shrinkToFit="1"/>
    </xf>
    <xf numFmtId="0" fontId="29" fillId="34" borderId="16" xfId="0" applyFont="1" applyFill="1" applyBorder="1" applyAlignment="1">
      <alignment horizontal="center" vertical="top" shrinkToFit="1"/>
    </xf>
    <xf numFmtId="0" fontId="29" fillId="34" borderId="49" xfId="45" applyFont="1" applyFill="1" applyBorder="1" applyAlignment="1">
      <alignment horizontal="center" vertical="top" shrinkToFit="1"/>
    </xf>
    <xf numFmtId="0" fontId="29" fillId="34" borderId="71" xfId="45" applyFont="1" applyFill="1" applyBorder="1" applyAlignment="1">
      <alignment horizontal="center" vertical="top" shrinkToFit="1"/>
    </xf>
    <xf numFmtId="0" fontId="29" fillId="34" borderId="16" xfId="0" applyFont="1" applyFill="1" applyBorder="1" applyAlignment="1">
      <alignment horizontal="center" vertical="top" wrapText="1"/>
    </xf>
    <xf numFmtId="0" fontId="29" fillId="34" borderId="16" xfId="45" applyFont="1" applyFill="1" applyBorder="1" applyAlignment="1">
      <alignment horizontal="center" vertical="top"/>
    </xf>
    <xf numFmtId="0" fontId="10" fillId="26" borderId="0" xfId="45" applyFont="1" applyFill="1" applyBorder="1" applyAlignment="1">
      <alignment vertical="top"/>
    </xf>
    <xf numFmtId="0" fontId="29" fillId="26" borderId="0" xfId="0" applyFont="1" applyFill="1" applyBorder="1" applyAlignment="1">
      <alignment vertical="top" shrinkToFit="1"/>
    </xf>
    <xf numFmtId="0" fontId="36" fillId="26" borderId="0" xfId="29" applyFont="1" applyFill="1" applyBorder="1" applyAlignment="1" applyProtection="1">
      <alignment vertical="top" wrapText="1" shrinkToFit="1"/>
    </xf>
    <xf numFmtId="176" fontId="29" fillId="0" borderId="10" xfId="0" applyNumberFormat="1" applyFont="1" applyFill="1" applyBorder="1" applyAlignment="1">
      <alignment horizontal="center" vertical="top" wrapText="1"/>
    </xf>
    <xf numFmtId="9" fontId="29" fillId="28" borderId="10" xfId="0" applyNumberFormat="1" applyFont="1" applyFill="1" applyBorder="1" applyAlignment="1">
      <alignment horizontal="center" vertical="top" shrinkToFit="1"/>
    </xf>
    <xf numFmtId="0" fontId="29" fillId="26" borderId="10" xfId="45" applyFont="1" applyFill="1" applyBorder="1" applyAlignment="1" applyProtection="1">
      <alignment horizontal="center" vertical="top"/>
      <protection locked="0"/>
    </xf>
    <xf numFmtId="0" fontId="29" fillId="26" borderId="67" xfId="45" applyFont="1" applyFill="1" applyBorder="1" applyAlignment="1">
      <alignment horizontal="center" vertical="top" shrinkToFit="1"/>
    </xf>
    <xf numFmtId="176" fontId="29" fillId="0" borderId="72" xfId="0" applyNumberFormat="1" applyFont="1" applyFill="1" applyBorder="1" applyAlignment="1">
      <alignment horizontal="center" vertical="top" wrapText="1"/>
    </xf>
    <xf numFmtId="9" fontId="29" fillId="28" borderId="72" xfId="0" applyNumberFormat="1" applyFont="1" applyFill="1" applyBorder="1" applyAlignment="1">
      <alignment horizontal="center" vertical="top" shrinkToFit="1"/>
    </xf>
    <xf numFmtId="0" fontId="29" fillId="26" borderId="72" xfId="45" applyFont="1" applyFill="1" applyBorder="1" applyAlignment="1" applyProtection="1">
      <alignment horizontal="center" vertical="top"/>
      <protection locked="0"/>
    </xf>
    <xf numFmtId="0" fontId="29" fillId="0" borderId="68" xfId="45" applyFont="1" applyFill="1" applyBorder="1" applyAlignment="1">
      <alignment horizontal="center" vertical="top"/>
    </xf>
    <xf numFmtId="176" fontId="29" fillId="0" borderId="69" xfId="0" applyNumberFormat="1" applyFont="1" applyFill="1" applyBorder="1" applyAlignment="1">
      <alignment horizontal="center" vertical="top" wrapText="1"/>
    </xf>
    <xf numFmtId="9" fontId="29" fillId="28" borderId="69" xfId="0" applyNumberFormat="1" applyFont="1" applyFill="1" applyBorder="1" applyAlignment="1">
      <alignment horizontal="center" vertical="top" shrinkToFit="1"/>
    </xf>
    <xf numFmtId="0" fontId="29" fillId="26" borderId="69" xfId="45" applyFont="1" applyFill="1" applyBorder="1" applyAlignment="1" applyProtection="1">
      <alignment horizontal="center" vertical="top"/>
      <protection locked="0"/>
    </xf>
    <xf numFmtId="0" fontId="29" fillId="34" borderId="35" xfId="45" applyFont="1" applyFill="1" applyBorder="1" applyAlignment="1">
      <alignment vertical="top" shrinkToFit="1"/>
    </xf>
    <xf numFmtId="0" fontId="29" fillId="34" borderId="40" xfId="45" applyFont="1" applyFill="1" applyBorder="1" applyAlignment="1">
      <alignment vertical="top" shrinkToFit="1"/>
    </xf>
    <xf numFmtId="0" fontId="29" fillId="34" borderId="73" xfId="45" applyFont="1" applyFill="1" applyBorder="1" applyAlignment="1">
      <alignment vertical="top" shrinkToFit="1"/>
    </xf>
    <xf numFmtId="0" fontId="29" fillId="34" borderId="67" xfId="45" applyFont="1" applyFill="1" applyBorder="1" applyAlignment="1">
      <alignment vertical="top" shrinkToFit="1"/>
    </xf>
    <xf numFmtId="0" fontId="29" fillId="34" borderId="22" xfId="45" applyFont="1" applyFill="1" applyBorder="1" applyAlignment="1">
      <alignment vertical="top" shrinkToFit="1"/>
    </xf>
    <xf numFmtId="0" fontId="29" fillId="34" borderId="67" xfId="45" applyFont="1" applyFill="1" applyBorder="1" applyAlignment="1">
      <alignment vertical="top"/>
    </xf>
    <xf numFmtId="0" fontId="29" fillId="34" borderId="34" xfId="45" applyFont="1" applyFill="1" applyBorder="1" applyAlignment="1">
      <alignment horizontal="center" vertical="top"/>
    </xf>
    <xf numFmtId="49" fontId="7" fillId="0" borderId="10" xfId="0" applyNumberFormat="1" applyFont="1" applyBorder="1" applyAlignment="1">
      <alignment horizontal="center" vertical="top"/>
    </xf>
    <xf numFmtId="14" fontId="7" fillId="0" borderId="10" xfId="0" applyNumberFormat="1" applyFont="1" applyBorder="1" applyAlignment="1">
      <alignment horizontal="center" vertical="top"/>
    </xf>
    <xf numFmtId="0" fontId="7" fillId="0" borderId="10" xfId="0" applyFont="1" applyBorder="1" applyAlignment="1">
      <alignment vertical="top" wrapText="1"/>
    </xf>
    <xf numFmtId="49" fontId="7" fillId="0" borderId="10" xfId="45" applyNumberFormat="1" applyFont="1" applyBorder="1" applyAlignment="1">
      <alignment horizontal="center" vertical="top"/>
    </xf>
    <xf numFmtId="0" fontId="40" fillId="26" borderId="0" xfId="45" applyFont="1" applyFill="1" applyBorder="1" applyAlignment="1">
      <alignment horizontal="left" vertical="center"/>
    </xf>
    <xf numFmtId="0" fontId="39" fillId="26" borderId="0" xfId="45" applyFont="1" applyFill="1" applyBorder="1" applyAlignment="1">
      <alignment vertical="top"/>
    </xf>
    <xf numFmtId="178" fontId="29" fillId="28" borderId="69" xfId="0" applyNumberFormat="1" applyFont="1" applyFill="1" applyBorder="1" applyAlignment="1">
      <alignment horizontal="center" vertical="top" wrapText="1"/>
    </xf>
    <xf numFmtId="178" fontId="29" fillId="28" borderId="72" xfId="0" applyNumberFormat="1" applyFont="1" applyFill="1" applyBorder="1" applyAlignment="1">
      <alignment horizontal="center" vertical="top" wrapText="1"/>
    </xf>
    <xf numFmtId="177" fontId="29" fillId="26" borderId="23" xfId="45" applyNumberFormat="1" applyFont="1" applyFill="1" applyBorder="1" applyAlignment="1" applyProtection="1">
      <alignment horizontal="center" vertical="center"/>
      <protection locked="0"/>
    </xf>
    <xf numFmtId="0" fontId="39" fillId="26" borderId="0" xfId="45" applyFont="1" applyFill="1" applyBorder="1" applyAlignment="1">
      <alignment vertical="center"/>
    </xf>
    <xf numFmtId="0" fontId="7" fillId="0" borderId="10" xfId="52" applyFont="1" applyBorder="1" applyAlignment="1">
      <alignment horizontal="center" vertical="top"/>
    </xf>
    <xf numFmtId="14" fontId="7" fillId="0" borderId="81" xfId="45" applyNumberFormat="1" applyFont="1" applyBorder="1" applyAlignment="1">
      <alignment horizontal="center" vertical="top"/>
    </xf>
    <xf numFmtId="0" fontId="29" fillId="0" borderId="0" xfId="45" applyFont="1" applyFill="1" applyBorder="1" applyAlignment="1" applyProtection="1">
      <alignment vertical="top"/>
      <protection locked="0"/>
    </xf>
    <xf numFmtId="0" fontId="29" fillId="0" borderId="0" xfId="0" applyFont="1" applyBorder="1" applyAlignment="1">
      <alignment vertical="top"/>
    </xf>
    <xf numFmtId="176" fontId="29" fillId="0" borderId="0" xfId="45" applyNumberFormat="1" applyFont="1" applyFill="1" applyBorder="1" applyAlignment="1">
      <alignment horizontal="center" vertical="top" shrinkToFit="1"/>
    </xf>
    <xf numFmtId="0" fontId="29" fillId="0" borderId="0" xfId="45" applyFont="1" applyFill="1" applyBorder="1" applyAlignment="1" applyProtection="1">
      <alignment horizontal="center" vertical="top" shrinkToFit="1"/>
      <protection locked="0"/>
    </xf>
    <xf numFmtId="176" fontId="29" fillId="0" borderId="48" xfId="45" applyNumberFormat="1" applyFont="1" applyFill="1" applyBorder="1" applyAlignment="1">
      <alignment horizontal="center" vertical="top" shrinkToFit="1"/>
    </xf>
    <xf numFmtId="0" fontId="7" fillId="0" borderId="0" xfId="0" applyFont="1" applyAlignment="1">
      <alignment vertical="top"/>
    </xf>
    <xf numFmtId="49" fontId="29" fillId="36" borderId="69" xfId="0" applyNumberFormat="1" applyFont="1" applyFill="1" applyBorder="1" applyAlignment="1" applyProtection="1">
      <alignment horizontal="center" vertical="top" shrinkToFit="1"/>
      <protection locked="0"/>
    </xf>
    <xf numFmtId="0" fontId="29" fillId="33" borderId="40" xfId="45" applyFont="1" applyFill="1" applyBorder="1" applyAlignment="1">
      <alignment horizontal="center" vertical="center" shrinkToFit="1"/>
    </xf>
    <xf numFmtId="0" fontId="29" fillId="33" borderId="11" xfId="45" applyFont="1" applyFill="1" applyBorder="1" applyAlignment="1">
      <alignment horizontal="center" vertical="center" shrinkToFit="1"/>
    </xf>
    <xf numFmtId="0" fontId="29" fillId="33" borderId="11" xfId="45" applyFont="1" applyFill="1" applyBorder="1" applyAlignment="1">
      <alignment horizontal="center" vertical="center" wrapText="1" shrinkToFit="1"/>
    </xf>
    <xf numFmtId="0" fontId="29" fillId="33" borderId="10" xfId="45" applyFont="1" applyFill="1" applyBorder="1" applyAlignment="1">
      <alignment horizontal="center" vertical="center" wrapText="1" shrinkToFit="1"/>
    </xf>
    <xf numFmtId="0" fontId="29" fillId="33" borderId="42" xfId="45" applyFont="1" applyFill="1" applyBorder="1" applyAlignment="1">
      <alignment horizontal="center" vertical="center" wrapText="1" shrinkToFit="1"/>
    </xf>
    <xf numFmtId="0" fontId="29" fillId="33" borderId="32" xfId="45" applyFont="1" applyFill="1" applyBorder="1" applyAlignment="1">
      <alignment horizontal="center" vertical="center" wrapText="1" shrinkToFit="1"/>
    </xf>
    <xf numFmtId="0" fontId="29" fillId="0" borderId="40" xfId="45" applyFont="1" applyFill="1" applyBorder="1" applyAlignment="1">
      <alignment horizontal="center" vertical="top" shrinkToFit="1"/>
    </xf>
    <xf numFmtId="0" fontId="29" fillId="0" borderId="11" xfId="45" applyFont="1" applyFill="1" applyBorder="1" applyAlignment="1" applyProtection="1">
      <alignment horizontal="center" vertical="top" shrinkToFit="1"/>
      <protection locked="0"/>
    </xf>
    <xf numFmtId="0" fontId="29" fillId="0" borderId="10" xfId="45" applyFont="1" applyFill="1" applyBorder="1" applyAlignment="1" applyProtection="1">
      <alignment horizontal="center" vertical="top" shrinkToFit="1"/>
      <protection locked="0"/>
    </xf>
    <xf numFmtId="0" fontId="29" fillId="0" borderId="42" xfId="45" applyFont="1" applyFill="1" applyBorder="1" applyAlignment="1" applyProtection="1">
      <alignment horizontal="center" vertical="top" shrinkToFit="1"/>
      <protection locked="0"/>
    </xf>
    <xf numFmtId="0" fontId="29" fillId="0" borderId="32" xfId="45" applyFont="1" applyFill="1" applyBorder="1" applyAlignment="1" applyProtection="1">
      <alignment horizontal="center" vertical="top" shrinkToFit="1"/>
      <protection locked="0"/>
    </xf>
    <xf numFmtId="0" fontId="29" fillId="24" borderId="67" xfId="45" applyFont="1" applyFill="1" applyBorder="1" applyAlignment="1">
      <alignment horizontal="center" vertical="top" shrinkToFit="1"/>
    </xf>
    <xf numFmtId="0" fontId="29" fillId="24" borderId="79" xfId="45" applyFont="1" applyFill="1" applyBorder="1" applyAlignment="1">
      <alignment horizontal="center" vertical="top" shrinkToFit="1"/>
    </xf>
    <xf numFmtId="0" fontId="29" fillId="24" borderId="72" xfId="45" applyFont="1" applyFill="1" applyBorder="1" applyAlignment="1">
      <alignment horizontal="center" vertical="top" shrinkToFit="1"/>
    </xf>
    <xf numFmtId="0" fontId="29" fillId="24" borderId="75" xfId="45" applyFont="1" applyFill="1" applyBorder="1" applyAlignment="1">
      <alignment horizontal="center" vertical="top" shrinkToFit="1"/>
    </xf>
    <xf numFmtId="0" fontId="29" fillId="24" borderId="47" xfId="45" applyFont="1" applyFill="1" applyBorder="1" applyAlignment="1">
      <alignment horizontal="center" vertical="top" shrinkToFit="1"/>
    </xf>
    <xf numFmtId="0" fontId="29" fillId="28" borderId="11" xfId="45" applyFont="1" applyFill="1" applyBorder="1" applyAlignment="1">
      <alignment horizontal="center" vertical="center" wrapText="1" shrinkToFit="1"/>
    </xf>
    <xf numFmtId="0" fontId="29" fillId="28" borderId="10" xfId="45" applyFont="1" applyFill="1" applyBorder="1" applyAlignment="1">
      <alignment horizontal="center" vertical="center" wrapText="1" shrinkToFit="1"/>
    </xf>
    <xf numFmtId="0" fontId="29" fillId="28" borderId="41" xfId="45" applyFont="1" applyFill="1" applyBorder="1" applyAlignment="1">
      <alignment horizontal="center" vertical="center" wrapText="1" shrinkToFit="1"/>
    </xf>
    <xf numFmtId="0" fontId="29" fillId="0" borderId="10" xfId="45" applyFont="1" applyFill="1" applyBorder="1" applyAlignment="1" applyProtection="1">
      <alignment vertical="top" wrapText="1"/>
      <protection locked="0"/>
    </xf>
    <xf numFmtId="0" fontId="29" fillId="0" borderId="72" xfId="45" applyFont="1" applyFill="1" applyBorder="1" applyAlignment="1" applyProtection="1">
      <alignment horizontal="center" vertical="top" shrinkToFit="1"/>
      <protection locked="0"/>
    </xf>
    <xf numFmtId="0" fontId="29" fillId="0" borderId="72" xfId="45" applyFont="1" applyFill="1" applyBorder="1" applyAlignment="1" applyProtection="1">
      <alignment vertical="top" wrapText="1"/>
      <protection locked="0"/>
    </xf>
    <xf numFmtId="0" fontId="29" fillId="31" borderId="40" xfId="45" applyFont="1" applyFill="1" applyBorder="1" applyAlignment="1">
      <alignment horizontal="center" vertical="center" wrapText="1" shrinkToFit="1"/>
    </xf>
    <xf numFmtId="0" fontId="29" fillId="31" borderId="11" xfId="45" applyFont="1" applyFill="1" applyBorder="1" applyAlignment="1">
      <alignment horizontal="center" vertical="center" wrapText="1" shrinkToFit="1"/>
    </xf>
    <xf numFmtId="0" fontId="29" fillId="31" borderId="10" xfId="45" applyFont="1" applyFill="1" applyBorder="1" applyAlignment="1">
      <alignment horizontal="center" vertical="center" wrapText="1" shrinkToFit="1"/>
    </xf>
    <xf numFmtId="0" fontId="29" fillId="31" borderId="32" xfId="45" applyFont="1" applyFill="1" applyBorder="1" applyAlignment="1">
      <alignment horizontal="center" vertical="center" wrapText="1" shrinkToFit="1"/>
    </xf>
    <xf numFmtId="0" fontId="29" fillId="28" borderId="40" xfId="45" applyFont="1" applyFill="1" applyBorder="1" applyAlignment="1" applyProtection="1">
      <alignment horizontal="center" vertical="top" shrinkToFit="1"/>
      <protection locked="0"/>
    </xf>
    <xf numFmtId="0" fontId="29" fillId="0" borderId="11" xfId="45" applyFont="1" applyFill="1" applyBorder="1" applyAlignment="1" applyProtection="1">
      <alignment vertical="top" wrapText="1"/>
      <protection locked="0"/>
    </xf>
    <xf numFmtId="181" fontId="29" fillId="0" borderId="11" xfId="45" applyNumberFormat="1" applyFont="1" applyFill="1" applyBorder="1" applyAlignment="1" applyProtection="1">
      <alignment horizontal="center" vertical="top" shrinkToFit="1"/>
      <protection locked="0"/>
    </xf>
    <xf numFmtId="179" fontId="29" fillId="0" borderId="11" xfId="45" applyNumberFormat="1" applyFont="1" applyFill="1" applyBorder="1" applyAlignment="1" applyProtection="1">
      <alignment horizontal="center" vertical="top" shrinkToFit="1"/>
      <protection locked="0"/>
    </xf>
    <xf numFmtId="0" fontId="29" fillId="24" borderId="67" xfId="45" applyFont="1" applyFill="1" applyBorder="1" applyAlignment="1" applyProtection="1">
      <alignment horizontal="center" vertical="top" shrinkToFit="1"/>
      <protection locked="0"/>
    </xf>
    <xf numFmtId="0" fontId="29" fillId="24" borderId="72" xfId="45" applyFont="1" applyFill="1" applyBorder="1" applyAlignment="1">
      <alignment vertical="top" wrapText="1"/>
    </xf>
    <xf numFmtId="0" fontId="29" fillId="24" borderId="79" xfId="45" applyFont="1" applyFill="1" applyBorder="1" applyAlignment="1">
      <alignment vertical="top" wrapText="1"/>
    </xf>
    <xf numFmtId="181" fontId="29" fillId="24" borderId="79" xfId="45" applyNumberFormat="1" applyFont="1" applyFill="1" applyBorder="1" applyAlignment="1">
      <alignment horizontal="center" vertical="top" shrinkToFit="1"/>
    </xf>
    <xf numFmtId="179" fontId="29" fillId="24" borderId="79" xfId="45" applyNumberFormat="1" applyFont="1" applyFill="1" applyBorder="1" applyAlignment="1">
      <alignment horizontal="center" vertical="top" shrinkToFit="1"/>
    </xf>
    <xf numFmtId="0" fontId="29" fillId="32" borderId="40" xfId="45" applyFont="1" applyFill="1" applyBorder="1" applyAlignment="1">
      <alignment horizontal="center" vertical="center" shrinkToFit="1"/>
    </xf>
    <xf numFmtId="0" fontId="29" fillId="32" borderId="11" xfId="45" applyFont="1" applyFill="1" applyBorder="1" applyAlignment="1">
      <alignment horizontal="center" vertical="center" wrapText="1" shrinkToFit="1"/>
    </xf>
    <xf numFmtId="0" fontId="29" fillId="32" borderId="42" xfId="45" applyFont="1" applyFill="1" applyBorder="1" applyAlignment="1">
      <alignment horizontal="center" vertical="center" shrinkToFit="1"/>
    </xf>
    <xf numFmtId="0" fontId="29" fillId="32" borderId="10" xfId="45" applyFont="1" applyFill="1" applyBorder="1" applyAlignment="1">
      <alignment horizontal="center" vertical="center" wrapText="1" shrinkToFit="1"/>
    </xf>
    <xf numFmtId="0" fontId="29" fillId="32" borderId="42" xfId="45" applyFont="1" applyFill="1" applyBorder="1" applyAlignment="1">
      <alignment horizontal="center" vertical="center" wrapText="1" shrinkToFit="1"/>
    </xf>
    <xf numFmtId="0" fontId="29" fillId="32" borderId="32" xfId="45" applyFont="1" applyFill="1" applyBorder="1" applyAlignment="1">
      <alignment horizontal="center" vertical="center" wrapText="1" shrinkToFit="1"/>
    </xf>
    <xf numFmtId="0" fontId="29" fillId="0" borderId="40" xfId="45" applyFont="1" applyFill="1" applyBorder="1" applyAlignment="1" applyProtection="1">
      <alignment horizontal="center" vertical="top" shrinkToFit="1"/>
      <protection locked="0"/>
    </xf>
    <xf numFmtId="181" fontId="29" fillId="0" borderId="10" xfId="45" applyNumberFormat="1" applyFont="1" applyFill="1" applyBorder="1" applyAlignment="1" applyProtection="1">
      <alignment horizontal="center" vertical="top" shrinkToFit="1"/>
      <protection locked="0"/>
    </xf>
    <xf numFmtId="179" fontId="29" fillId="0" borderId="42" xfId="45" applyNumberFormat="1" applyFont="1" applyFill="1" applyBorder="1" applyAlignment="1" applyProtection="1">
      <alignment horizontal="center" vertical="top" shrinkToFit="1"/>
      <protection locked="0"/>
    </xf>
    <xf numFmtId="0" fontId="29" fillId="24" borderId="78" xfId="45" applyFont="1" applyFill="1" applyBorder="1" applyAlignment="1">
      <alignment vertical="top" wrapText="1"/>
    </xf>
    <xf numFmtId="181" fontId="29" fillId="24" borderId="72" xfId="45" applyNumberFormat="1" applyFont="1" applyFill="1" applyBorder="1" applyAlignment="1">
      <alignment horizontal="center" vertical="top" shrinkToFit="1"/>
    </xf>
    <xf numFmtId="179" fontId="29" fillId="24" borderId="75" xfId="45" applyNumberFormat="1" applyFont="1" applyFill="1" applyBorder="1" applyAlignment="1">
      <alignment horizontal="center" vertical="top" shrinkToFit="1"/>
    </xf>
    <xf numFmtId="0" fontId="29" fillId="0" borderId="0" xfId="0" applyFont="1" applyBorder="1" applyAlignment="1">
      <alignment vertical="top" wrapText="1" shrinkToFit="1"/>
    </xf>
    <xf numFmtId="0" fontId="29" fillId="0" borderId="106" xfId="45" applyFont="1" applyFill="1" applyBorder="1" applyAlignment="1" applyProtection="1">
      <alignment vertical="top" wrapText="1"/>
      <protection locked="0"/>
    </xf>
    <xf numFmtId="0" fontId="29" fillId="24" borderId="33" xfId="45" applyFont="1" applyFill="1" applyBorder="1" applyAlignment="1">
      <alignment vertical="top" wrapText="1"/>
    </xf>
    <xf numFmtId="178" fontId="29" fillId="0" borderId="10" xfId="0" applyNumberFormat="1" applyFont="1" applyFill="1" applyBorder="1" applyAlignment="1">
      <alignment horizontal="center" vertical="top" wrapText="1"/>
    </xf>
    <xf numFmtId="0" fontId="44" fillId="0" borderId="0" xfId="0" applyFont="1" applyAlignment="1">
      <alignment horizontal="left" vertical="center"/>
    </xf>
    <xf numFmtId="49" fontId="29" fillId="0" borderId="70" xfId="0" applyNumberFormat="1" applyFont="1" applyBorder="1" applyAlignment="1">
      <alignment horizontal="center" vertical="center" wrapText="1"/>
    </xf>
    <xf numFmtId="49" fontId="29" fillId="0" borderId="10" xfId="0" applyNumberFormat="1" applyFont="1" applyBorder="1" applyAlignment="1">
      <alignment horizontal="center" vertical="center" wrapText="1"/>
    </xf>
    <xf numFmtId="0" fontId="29" fillId="26" borderId="51" xfId="45" applyFont="1" applyFill="1" applyBorder="1" applyAlignment="1">
      <alignment horizontal="center" vertical="top" shrinkToFit="1"/>
    </xf>
    <xf numFmtId="0" fontId="29" fillId="26" borderId="52" xfId="45" applyFont="1" applyFill="1" applyBorder="1" applyAlignment="1">
      <alignment horizontal="center" vertical="top" shrinkToFit="1"/>
    </xf>
    <xf numFmtId="0" fontId="29" fillId="0" borderId="42" xfId="45" applyFont="1" applyFill="1" applyBorder="1" applyAlignment="1" applyProtection="1">
      <alignment vertical="top" wrapText="1"/>
      <protection locked="0"/>
    </xf>
    <xf numFmtId="0" fontId="29" fillId="0" borderId="75" xfId="45" applyFont="1" applyFill="1" applyBorder="1" applyAlignment="1" applyProtection="1">
      <alignment vertical="top" wrapText="1"/>
      <protection locked="0"/>
    </xf>
    <xf numFmtId="0" fontId="29" fillId="0" borderId="10" xfId="45" applyFont="1" applyFill="1" applyBorder="1" applyAlignment="1" applyProtection="1">
      <alignment horizontal="center" vertical="top" wrapText="1"/>
      <protection locked="0"/>
    </xf>
    <xf numFmtId="0" fontId="29" fillId="37" borderId="73" xfId="45" applyFont="1" applyFill="1" applyBorder="1" applyAlignment="1">
      <alignment vertical="top" shrinkToFit="1"/>
    </xf>
    <xf numFmtId="0" fontId="29" fillId="38" borderId="80" xfId="45" applyFont="1" applyFill="1" applyBorder="1" applyAlignment="1">
      <alignment horizontal="center" vertical="top" shrinkToFit="1"/>
    </xf>
    <xf numFmtId="0" fontId="0" fillId="26" borderId="0" xfId="45" applyFont="1" applyFill="1" applyAlignment="1">
      <alignment vertical="top"/>
    </xf>
    <xf numFmtId="0" fontId="29" fillId="0" borderId="41" xfId="45" applyFont="1" applyFill="1" applyBorder="1" applyAlignment="1" applyProtection="1">
      <alignment vertical="top" wrapText="1"/>
      <protection locked="0"/>
    </xf>
    <xf numFmtId="0" fontId="29" fillId="0" borderId="11" xfId="45" applyFont="1" applyFill="1" applyBorder="1" applyAlignment="1" applyProtection="1">
      <alignment vertical="top" wrapText="1"/>
      <protection locked="0"/>
    </xf>
    <xf numFmtId="0" fontId="29" fillId="39" borderId="66" xfId="45" applyFont="1" applyFill="1" applyBorder="1" applyAlignment="1">
      <alignment horizontal="center" vertical="top" shrinkToFit="1"/>
    </xf>
    <xf numFmtId="0" fontId="29" fillId="39" borderId="47" xfId="45" applyFont="1" applyFill="1" applyBorder="1" applyAlignment="1">
      <alignment horizontal="center" vertical="top" shrinkToFit="1"/>
    </xf>
    <xf numFmtId="0" fontId="29" fillId="28" borderId="69" xfId="45" applyFont="1" applyFill="1" applyBorder="1" applyAlignment="1">
      <alignment horizontal="center" vertical="top" shrinkToFit="1"/>
    </xf>
    <xf numFmtId="0" fontId="29" fillId="28" borderId="10" xfId="45" applyFont="1" applyFill="1" applyBorder="1" applyAlignment="1">
      <alignment horizontal="center" vertical="top" shrinkToFit="1"/>
    </xf>
    <xf numFmtId="0" fontId="45" fillId="26" borderId="0" xfId="45" applyFont="1" applyFill="1" applyBorder="1" applyAlignment="1">
      <alignment horizontal="center" vertical="top" shrinkToFit="1"/>
    </xf>
    <xf numFmtId="0" fontId="29" fillId="41" borderId="67" xfId="45" applyFont="1" applyFill="1" applyBorder="1" applyAlignment="1">
      <alignment vertical="top" shrinkToFit="1"/>
    </xf>
    <xf numFmtId="0" fontId="31" fillId="41" borderId="47" xfId="29" applyFont="1" applyFill="1" applyBorder="1" applyAlignment="1" applyProtection="1">
      <alignment horizontal="center" vertical="top" shrinkToFit="1"/>
    </xf>
    <xf numFmtId="0" fontId="7" fillId="0" borderId="81" xfId="52" applyFont="1" applyBorder="1" applyAlignment="1">
      <alignment horizontal="center" vertical="top"/>
    </xf>
    <xf numFmtId="0" fontId="7" fillId="0" borderId="82" xfId="52" applyFont="1" applyBorder="1" applyAlignment="1">
      <alignment horizontal="center" vertical="top"/>
    </xf>
    <xf numFmtId="0" fontId="7" fillId="0" borderId="69" xfId="52" applyFont="1" applyBorder="1" applyAlignment="1">
      <alignment horizontal="center" vertical="top"/>
    </xf>
    <xf numFmtId="14" fontId="7" fillId="0" borderId="81" xfId="52" applyNumberFormat="1" applyFont="1" applyBorder="1" applyAlignment="1">
      <alignment horizontal="center" vertical="top"/>
    </xf>
    <xf numFmtId="14" fontId="7" fillId="0" borderId="82" xfId="52" applyNumberFormat="1" applyFont="1" applyBorder="1" applyAlignment="1">
      <alignment horizontal="center" vertical="top"/>
    </xf>
    <xf numFmtId="14" fontId="7" fillId="0" borderId="69" xfId="52" applyNumberFormat="1" applyFont="1" applyBorder="1" applyAlignment="1">
      <alignment horizontal="center" vertical="top"/>
    </xf>
    <xf numFmtId="177" fontId="29" fillId="39" borderId="72" xfId="45" applyNumberFormat="1" applyFont="1" applyFill="1" applyBorder="1" applyAlignment="1" applyProtection="1">
      <alignment horizontal="center" vertical="center"/>
      <protection locked="0"/>
    </xf>
    <xf numFmtId="0" fontId="29" fillId="37" borderId="35" xfId="45" applyFont="1" applyFill="1" applyBorder="1" applyAlignment="1">
      <alignment vertical="top" shrinkToFit="1"/>
    </xf>
    <xf numFmtId="0" fontId="29" fillId="37" borderId="40" xfId="45" applyFont="1" applyFill="1" applyBorder="1" applyAlignment="1">
      <alignment vertical="top" shrinkToFit="1"/>
    </xf>
    <xf numFmtId="0" fontId="29" fillId="37" borderId="67" xfId="45" applyFont="1" applyFill="1" applyBorder="1" applyAlignment="1">
      <alignment vertical="top" shrinkToFit="1"/>
    </xf>
    <xf numFmtId="0" fontId="29" fillId="39" borderId="72" xfId="45" applyFont="1" applyFill="1" applyBorder="1" applyAlignment="1" applyProtection="1">
      <alignment vertical="top"/>
      <protection locked="0"/>
    </xf>
    <xf numFmtId="0" fontId="35" fillId="39" borderId="78" xfId="0" applyFont="1" applyFill="1" applyBorder="1" applyAlignment="1">
      <alignment horizontal="left" vertical="top"/>
    </xf>
    <xf numFmtId="0" fontId="35" fillId="39" borderId="79" xfId="0" applyFont="1" applyFill="1" applyBorder="1" applyAlignment="1">
      <alignment horizontal="left" vertical="top"/>
    </xf>
    <xf numFmtId="0" fontId="35" fillId="39" borderId="75" xfId="45" applyFont="1" applyFill="1" applyBorder="1" applyAlignment="1" applyProtection="1">
      <alignment horizontal="left" vertical="top"/>
      <protection locked="0"/>
    </xf>
    <xf numFmtId="49" fontId="29" fillId="39" borderId="72" xfId="0" applyNumberFormat="1" applyFont="1" applyFill="1" applyBorder="1" applyAlignment="1" applyProtection="1">
      <alignment horizontal="center" vertical="top"/>
      <protection locked="0"/>
    </xf>
    <xf numFmtId="176" fontId="29" fillId="39" borderId="47" xfId="45" applyNumberFormat="1" applyFont="1" applyFill="1" applyBorder="1" applyAlignment="1">
      <alignment horizontal="center" vertical="top"/>
    </xf>
    <xf numFmtId="0" fontId="35" fillId="39" borderId="67" xfId="45" applyFont="1" applyFill="1" applyBorder="1" applyAlignment="1">
      <alignment horizontal="left" vertical="top"/>
    </xf>
    <xf numFmtId="0" fontId="35" fillId="39" borderId="63" xfId="45" applyFont="1" applyFill="1" applyBorder="1" applyAlignment="1">
      <alignment horizontal="left" vertical="top"/>
    </xf>
    <xf numFmtId="178" fontId="35" fillId="39" borderId="67" xfId="45" applyNumberFormat="1" applyFont="1" applyFill="1" applyBorder="1" applyAlignment="1" applyProtection="1">
      <alignment horizontal="left" vertical="top"/>
      <protection locked="0"/>
    </xf>
    <xf numFmtId="0" fontId="29" fillId="39" borderId="75" xfId="45" applyFont="1" applyFill="1" applyBorder="1" applyAlignment="1" applyProtection="1">
      <alignment vertical="top"/>
      <protection locked="0"/>
    </xf>
    <xf numFmtId="0" fontId="29" fillId="39" borderId="78" xfId="45" applyFont="1" applyFill="1" applyBorder="1" applyAlignment="1" applyProtection="1">
      <alignment vertical="top"/>
      <protection locked="0"/>
    </xf>
    <xf numFmtId="0" fontId="29" fillId="39" borderId="79" xfId="45" applyFont="1" applyFill="1" applyBorder="1" applyAlignment="1" applyProtection="1">
      <alignment vertical="top"/>
      <protection locked="0"/>
    </xf>
    <xf numFmtId="0" fontId="29" fillId="39" borderId="76" xfId="45" applyFont="1" applyFill="1" applyBorder="1" applyAlignment="1">
      <alignment horizontal="center" vertical="top"/>
    </xf>
    <xf numFmtId="0" fontId="29" fillId="39" borderId="75" xfId="45" applyNumberFormat="1" applyFont="1" applyFill="1" applyBorder="1" applyAlignment="1" applyProtection="1">
      <alignment vertical="top"/>
      <protection locked="0"/>
    </xf>
    <xf numFmtId="0" fontId="29" fillId="39" borderId="78" xfId="0" applyNumberFormat="1" applyFont="1" applyFill="1" applyBorder="1" applyAlignment="1">
      <alignment vertical="top"/>
    </xf>
    <xf numFmtId="0" fontId="29" fillId="39" borderId="79" xfId="0" applyNumberFormat="1" applyFont="1" applyFill="1" applyBorder="1" applyAlignment="1">
      <alignment vertical="top"/>
    </xf>
    <xf numFmtId="49" fontId="29" fillId="39" borderId="72" xfId="0" applyNumberFormat="1" applyFont="1" applyFill="1" applyBorder="1" applyAlignment="1">
      <alignment horizontal="center" vertical="center"/>
    </xf>
    <xf numFmtId="0" fontId="31" fillId="39" borderId="75" xfId="45" applyFont="1" applyFill="1" applyBorder="1" applyAlignment="1" applyProtection="1">
      <alignment vertical="top"/>
      <protection locked="0"/>
    </xf>
    <xf numFmtId="0" fontId="31" fillId="39" borderId="78" xfId="45" applyFont="1" applyFill="1" applyBorder="1" applyAlignment="1" applyProtection="1">
      <alignment vertical="top"/>
      <protection locked="0"/>
    </xf>
    <xf numFmtId="0" fontId="31" fillId="39" borderId="79" xfId="45" applyFont="1" applyFill="1" applyBorder="1" applyAlignment="1" applyProtection="1">
      <alignment vertical="top"/>
      <protection locked="0"/>
    </xf>
    <xf numFmtId="0" fontId="7" fillId="0" borderId="10" xfId="45" applyFont="1" applyBorder="1" applyAlignment="1">
      <alignment horizontal="center" vertical="top"/>
    </xf>
    <xf numFmtId="14" fontId="7" fillId="0" borderId="10" xfId="45" applyNumberFormat="1" applyFont="1" applyBorder="1" applyAlignment="1">
      <alignment horizontal="center" vertical="top"/>
    </xf>
    <xf numFmtId="0" fontId="7" fillId="0" borderId="10" xfId="0" applyFont="1" applyBorder="1" applyAlignment="1">
      <alignment horizontal="center" vertical="top"/>
    </xf>
    <xf numFmtId="0" fontId="27" fillId="0" borderId="0" xfId="53" applyFont="1" applyAlignment="1">
      <alignment vertical="top"/>
    </xf>
    <xf numFmtId="0" fontId="2" fillId="0" borderId="0" xfId="52" applyFont="1" applyAlignment="1">
      <alignment vertical="top"/>
    </xf>
    <xf numFmtId="0" fontId="7" fillId="0" borderId="10" xfId="45" applyFont="1" applyBorder="1" applyAlignment="1">
      <alignment vertical="top" wrapText="1"/>
    </xf>
    <xf numFmtId="0" fontId="7" fillId="0" borderId="69" xfId="52" applyFont="1" applyBorder="1" applyAlignment="1">
      <alignment vertical="top"/>
    </xf>
    <xf numFmtId="0" fontId="7" fillId="0" borderId="10" xfId="52" applyFont="1" applyBorder="1" applyAlignment="1">
      <alignment vertical="top"/>
    </xf>
    <xf numFmtId="0" fontId="7" fillId="0" borderId="81" xfId="52" applyFont="1" applyBorder="1" applyAlignment="1">
      <alignment vertical="top"/>
    </xf>
    <xf numFmtId="0" fontId="7" fillId="0" borderId="10" xfId="52" applyFont="1" applyBorder="1" applyAlignment="1">
      <alignment vertical="top" wrapText="1"/>
    </xf>
    <xf numFmtId="0" fontId="7" fillId="0" borderId="82" xfId="52" applyFont="1" applyBorder="1" applyAlignment="1">
      <alignment vertical="top"/>
    </xf>
    <xf numFmtId="177" fontId="7" fillId="0" borderId="10" xfId="51" applyFont="1" applyBorder="1" applyAlignment="1">
      <alignment vertical="top"/>
    </xf>
    <xf numFmtId="0" fontId="7" fillId="0" borderId="10" xfId="57" applyFont="1" applyBorder="1" applyAlignment="1">
      <alignment vertical="top" wrapText="1"/>
    </xf>
    <xf numFmtId="0" fontId="7" fillId="0" borderId="81" xfId="57" applyFont="1" applyBorder="1" applyAlignment="1">
      <alignment vertical="top" wrapText="1"/>
    </xf>
    <xf numFmtId="0" fontId="7" fillId="0" borderId="69" xfId="57" applyFont="1" applyBorder="1" applyAlignment="1">
      <alignment vertical="top" wrapText="1"/>
    </xf>
    <xf numFmtId="0" fontId="7" fillId="0" borderId="82" xfId="57" applyFont="1" applyBorder="1" applyAlignment="1">
      <alignment vertical="top" wrapText="1"/>
    </xf>
    <xf numFmtId="49" fontId="7" fillId="0" borderId="10" xfId="45" quotePrefix="1" applyNumberFormat="1" applyFont="1" applyBorder="1" applyAlignment="1">
      <alignment horizontal="center" vertical="top"/>
    </xf>
    <xf numFmtId="49" fontId="7" fillId="0" borderId="81" xfId="45" quotePrefix="1" applyNumberFormat="1" applyFont="1" applyBorder="1" applyAlignment="1">
      <alignment horizontal="center" vertical="top"/>
    </xf>
    <xf numFmtId="49" fontId="7" fillId="0" borderId="69" xfId="45" quotePrefix="1" applyNumberFormat="1" applyFont="1" applyBorder="1" applyAlignment="1">
      <alignment horizontal="center" vertical="top"/>
    </xf>
    <xf numFmtId="49" fontId="7" fillId="0" borderId="81" xfId="52" applyNumberFormat="1" applyFont="1" applyBorder="1" applyAlignment="1">
      <alignment horizontal="center" vertical="top"/>
    </xf>
    <xf numFmtId="49" fontId="7" fillId="0" borderId="82" xfId="52" applyNumberFormat="1" applyFont="1" applyBorder="1" applyAlignment="1">
      <alignment horizontal="center" vertical="top"/>
    </xf>
    <xf numFmtId="49" fontId="7" fillId="0" borderId="69" xfId="52" applyNumberFormat="1" applyFont="1" applyBorder="1" applyAlignment="1">
      <alignment horizontal="center" vertical="top"/>
    </xf>
    <xf numFmtId="49" fontId="7" fillId="0" borderId="82" xfId="52" quotePrefix="1" applyNumberFormat="1" applyFont="1" applyBorder="1" applyAlignment="1">
      <alignment horizontal="center" vertical="top"/>
    </xf>
    <xf numFmtId="49" fontId="7" fillId="0" borderId="69" xfId="52" quotePrefix="1" applyNumberFormat="1" applyFont="1" applyBorder="1" applyAlignment="1">
      <alignment horizontal="center" vertical="top"/>
    </xf>
    <xf numFmtId="49" fontId="7" fillId="0" borderId="10" xfId="52" applyNumberFormat="1" applyFont="1" applyBorder="1" applyAlignment="1">
      <alignment horizontal="center" vertical="top"/>
    </xf>
    <xf numFmtId="0" fontId="2" fillId="0" borderId="0" xfId="45" applyFont="1" applyAlignment="1" applyProtection="1">
      <alignment vertical="top"/>
      <protection locked="0"/>
    </xf>
    <xf numFmtId="0" fontId="41" fillId="35" borderId="10" xfId="0" applyFont="1" applyFill="1" applyBorder="1" applyAlignment="1">
      <alignment vertical="top"/>
    </xf>
    <xf numFmtId="0" fontId="42" fillId="0" borderId="0" xfId="0" applyFont="1" applyAlignment="1">
      <alignment vertical="top"/>
    </xf>
    <xf numFmtId="0" fontId="7" fillId="34" borderId="10" xfId="0" applyFont="1" applyFill="1" applyBorder="1" applyAlignment="1">
      <alignment vertical="top"/>
    </xf>
    <xf numFmtId="0" fontId="29" fillId="25" borderId="0" xfId="45" applyFont="1" applyFill="1" applyAlignment="1" applyProtection="1">
      <alignment vertical="top"/>
      <protection locked="0"/>
    </xf>
    <xf numFmtId="0" fontId="2" fillId="25" borderId="0" xfId="45" applyFont="1" applyFill="1" applyAlignment="1" applyProtection="1">
      <alignment vertical="top"/>
      <protection locked="0"/>
    </xf>
    <xf numFmtId="0" fontId="28" fillId="0" borderId="0" xfId="0" applyFont="1" applyAlignment="1" applyProtection="1">
      <alignment vertical="top"/>
      <protection locked="0"/>
    </xf>
    <xf numFmtId="0" fontId="2" fillId="26" borderId="0" xfId="0" applyFont="1" applyFill="1" applyAlignment="1" applyProtection="1">
      <alignment vertical="top"/>
      <protection locked="0"/>
    </xf>
    <xf numFmtId="0" fontId="13" fillId="27" borderId="12" xfId="0" applyFont="1" applyFill="1" applyBorder="1" applyAlignment="1" applyProtection="1">
      <alignment vertical="top"/>
      <protection locked="0"/>
    </xf>
    <xf numFmtId="0" fontId="13" fillId="27" borderId="13" xfId="0" applyFont="1" applyFill="1" applyBorder="1" applyAlignment="1" applyProtection="1">
      <alignment vertical="top"/>
      <protection locked="0"/>
    </xf>
    <xf numFmtId="0" fontId="2" fillId="27" borderId="13" xfId="0" applyFont="1" applyFill="1" applyBorder="1" applyAlignment="1" applyProtection="1">
      <alignment vertical="top"/>
      <protection locked="0"/>
    </xf>
    <xf numFmtId="0" fontId="2" fillId="27" borderId="14" xfId="0" applyFont="1" applyFill="1" applyBorder="1" applyAlignment="1" applyProtection="1">
      <alignment vertical="top"/>
      <protection locked="0"/>
    </xf>
    <xf numFmtId="0" fontId="2" fillId="27" borderId="46" xfId="0" applyFont="1" applyFill="1" applyBorder="1" applyAlignment="1" applyProtection="1">
      <alignment vertical="top"/>
      <protection locked="0"/>
    </xf>
    <xf numFmtId="0" fontId="30" fillId="27" borderId="71" xfId="0" applyFont="1" applyFill="1" applyBorder="1" applyAlignment="1" applyProtection="1">
      <alignment vertical="top"/>
      <protection locked="0"/>
    </xf>
    <xf numFmtId="0" fontId="30" fillId="27" borderId="15" xfId="0" applyFont="1" applyFill="1" applyBorder="1" applyAlignment="1" applyProtection="1">
      <alignment vertical="top"/>
      <protection locked="0"/>
    </xf>
    <xf numFmtId="0" fontId="30" fillId="27" borderId="15" xfId="0" applyFont="1" applyFill="1" applyBorder="1" applyAlignment="1" applyProtection="1">
      <alignment vertical="top" shrinkToFit="1"/>
    </xf>
    <xf numFmtId="0" fontId="30" fillId="27" borderId="16" xfId="0" applyFont="1" applyFill="1" applyBorder="1" applyAlignment="1" applyProtection="1">
      <alignment vertical="top" shrinkToFit="1"/>
    </xf>
    <xf numFmtId="0" fontId="30" fillId="27" borderId="17" xfId="0" applyFont="1" applyFill="1" applyBorder="1" applyAlignment="1" applyProtection="1">
      <alignment vertical="top" shrinkToFit="1"/>
    </xf>
    <xf numFmtId="0" fontId="30" fillId="27" borderId="49" xfId="0" applyFont="1" applyFill="1" applyBorder="1" applyAlignment="1" applyProtection="1">
      <alignment vertical="top" shrinkToFit="1"/>
    </xf>
    <xf numFmtId="0" fontId="2" fillId="0" borderId="0" xfId="0" applyFont="1" applyAlignment="1" applyProtection="1">
      <alignment vertical="top"/>
      <protection locked="0"/>
    </xf>
    <xf numFmtId="0" fontId="29" fillId="34" borderId="101" xfId="0" applyFont="1" applyFill="1" applyBorder="1" applyAlignment="1" applyProtection="1">
      <alignment vertical="top" shrinkToFit="1"/>
      <protection locked="0"/>
    </xf>
    <xf numFmtId="0" fontId="29" fillId="35" borderId="83" xfId="0" applyFont="1" applyFill="1" applyBorder="1" applyAlignment="1" applyProtection="1">
      <alignment vertical="top" shrinkToFit="1"/>
    </xf>
    <xf numFmtId="0" fontId="29" fillId="35" borderId="83" xfId="45" applyFont="1" applyFill="1" applyBorder="1" applyAlignment="1" applyProtection="1">
      <alignment vertical="top" shrinkToFit="1"/>
      <protection locked="0"/>
    </xf>
    <xf numFmtId="0" fontId="29" fillId="35" borderId="84" xfId="45" applyFont="1" applyFill="1" applyBorder="1" applyAlignment="1" applyProtection="1">
      <alignment vertical="top" shrinkToFit="1"/>
      <protection locked="0"/>
    </xf>
    <xf numFmtId="0" fontId="29" fillId="35" borderId="87" xfId="0" applyFont="1" applyFill="1" applyBorder="1" applyAlignment="1" applyProtection="1">
      <alignment vertical="top" shrinkToFit="1"/>
    </xf>
    <xf numFmtId="0" fontId="29" fillId="35" borderId="87" xfId="45" applyFont="1" applyFill="1" applyBorder="1" applyAlignment="1" applyProtection="1">
      <alignment vertical="top" shrinkToFit="1"/>
      <protection locked="0"/>
    </xf>
    <xf numFmtId="0" fontId="29" fillId="35" borderId="88" xfId="45" applyFont="1" applyFill="1" applyBorder="1" applyAlignment="1" applyProtection="1">
      <alignment vertical="top" shrinkToFit="1"/>
      <protection locked="0"/>
    </xf>
    <xf numFmtId="0" fontId="29" fillId="35" borderId="89" xfId="45" applyFont="1" applyFill="1" applyBorder="1" applyAlignment="1" applyProtection="1">
      <alignment vertical="top" shrinkToFit="1"/>
      <protection locked="0"/>
    </xf>
    <xf numFmtId="0" fontId="29" fillId="34" borderId="102" xfId="0" applyFont="1" applyFill="1" applyBorder="1" applyAlignment="1" applyProtection="1">
      <alignment vertical="top" shrinkToFit="1"/>
      <protection locked="0"/>
    </xf>
    <xf numFmtId="0" fontId="29" fillId="35" borderId="92" xfId="45" applyFont="1" applyFill="1" applyBorder="1" applyAlignment="1" applyProtection="1">
      <alignment vertical="top" shrinkToFit="1"/>
      <protection locked="0"/>
    </xf>
    <xf numFmtId="0" fontId="29" fillId="35" borderId="91" xfId="45" applyFont="1" applyFill="1" applyBorder="1" applyAlignment="1" applyProtection="1">
      <alignment vertical="top" shrinkToFit="1"/>
      <protection locked="0"/>
    </xf>
    <xf numFmtId="0" fontId="29" fillId="35" borderId="90" xfId="45" applyFont="1" applyFill="1" applyBorder="1" applyAlignment="1" applyProtection="1">
      <alignment vertical="top" shrinkToFit="1"/>
      <protection locked="0"/>
    </xf>
    <xf numFmtId="0" fontId="29" fillId="35" borderId="93" xfId="45" applyFont="1" applyFill="1" applyBorder="1" applyAlignment="1" applyProtection="1">
      <alignment vertical="top" shrinkToFit="1"/>
      <protection locked="0"/>
    </xf>
    <xf numFmtId="0" fontId="29" fillId="35" borderId="94" xfId="45" applyFont="1" applyFill="1" applyBorder="1" applyAlignment="1" applyProtection="1">
      <alignment vertical="top" shrinkToFit="1"/>
      <protection locked="0"/>
    </xf>
    <xf numFmtId="0" fontId="29" fillId="35" borderId="87" xfId="0" applyFont="1" applyFill="1" applyBorder="1" applyAlignment="1" applyProtection="1">
      <alignment vertical="top" shrinkToFit="1"/>
      <protection locked="0"/>
    </xf>
    <xf numFmtId="0" fontId="29" fillId="34" borderId="103" xfId="0" applyFont="1" applyFill="1" applyBorder="1" applyAlignment="1" applyProtection="1">
      <alignment vertical="top" shrinkToFit="1"/>
      <protection locked="0"/>
    </xf>
    <xf numFmtId="0" fontId="29" fillId="35" borderId="94" xfId="0" applyFont="1" applyFill="1" applyBorder="1" applyAlignment="1" applyProtection="1">
      <alignment vertical="top" shrinkToFit="1"/>
      <protection locked="0"/>
    </xf>
    <xf numFmtId="0" fontId="29" fillId="34" borderId="104" xfId="0" applyFont="1" applyFill="1" applyBorder="1" applyAlignment="1" applyProtection="1">
      <alignment vertical="top" shrinkToFit="1"/>
      <protection locked="0"/>
    </xf>
    <xf numFmtId="0" fontId="29" fillId="35" borderId="95" xfId="0" applyFont="1" applyFill="1" applyBorder="1" applyAlignment="1" applyProtection="1">
      <alignment vertical="top" shrinkToFit="1"/>
      <protection locked="0"/>
    </xf>
    <xf numFmtId="0" fontId="29" fillId="35" borderId="96" xfId="0" applyFont="1" applyFill="1" applyBorder="1" applyAlignment="1" applyProtection="1">
      <alignment vertical="top" shrinkToFit="1"/>
      <protection locked="0"/>
    </xf>
    <xf numFmtId="0" fontId="29" fillId="35" borderId="97" xfId="0" applyFont="1" applyFill="1" applyBorder="1" applyAlignment="1" applyProtection="1">
      <alignment vertical="top" shrinkToFit="1"/>
      <protection locked="0"/>
    </xf>
    <xf numFmtId="0" fontId="29" fillId="35" borderId="98" xfId="0" applyFont="1" applyFill="1" applyBorder="1" applyAlignment="1" applyProtection="1">
      <alignment vertical="top" shrinkToFit="1"/>
      <protection locked="0"/>
    </xf>
    <xf numFmtId="0" fontId="28" fillId="0" borderId="0" xfId="0" applyFont="1" applyFill="1" applyAlignment="1" applyProtection="1">
      <alignment vertical="top"/>
      <protection locked="0"/>
    </xf>
    <xf numFmtId="0" fontId="29" fillId="0" borderId="0" xfId="45" applyFont="1" applyFill="1" applyBorder="1" applyAlignment="1" applyProtection="1">
      <alignment vertical="top" shrinkToFit="1"/>
      <protection locked="0"/>
    </xf>
    <xf numFmtId="0" fontId="2" fillId="0" borderId="0" xfId="45" applyFont="1" applyFill="1" applyBorder="1" applyAlignment="1" applyProtection="1">
      <alignment vertical="top"/>
      <protection locked="0"/>
    </xf>
    <xf numFmtId="0" fontId="29" fillId="0" borderId="0" xfId="0" applyFont="1" applyFill="1" applyBorder="1" applyAlignment="1" applyProtection="1">
      <alignment vertical="top" shrinkToFit="1"/>
      <protection locked="0"/>
    </xf>
    <xf numFmtId="0" fontId="2" fillId="0" borderId="0" xfId="45" applyFont="1" applyFill="1" applyAlignment="1" applyProtection="1">
      <alignment vertical="top"/>
      <protection locked="0"/>
    </xf>
    <xf numFmtId="0" fontId="30" fillId="27" borderId="71" xfId="45" applyFont="1" applyFill="1" applyBorder="1" applyAlignment="1" applyProtection="1">
      <alignment vertical="top" shrinkToFit="1"/>
      <protection locked="0"/>
    </xf>
    <xf numFmtId="0" fontId="30" fillId="27" borderId="16" xfId="45" applyFont="1" applyFill="1" applyBorder="1" applyAlignment="1" applyProtection="1">
      <alignment vertical="top" shrinkToFit="1"/>
      <protection locked="0"/>
    </xf>
    <xf numFmtId="0" fontId="30" fillId="27" borderId="17" xfId="0" applyFont="1" applyFill="1" applyBorder="1" applyAlignment="1" applyProtection="1">
      <alignment vertical="top"/>
      <protection locked="0"/>
    </xf>
    <xf numFmtId="0" fontId="30" fillId="27" borderId="49" xfId="45" applyFont="1" applyFill="1" applyBorder="1" applyAlignment="1" applyProtection="1">
      <alignment vertical="top" shrinkToFit="1"/>
      <protection locked="0"/>
    </xf>
    <xf numFmtId="0" fontId="29" fillId="34" borderId="101" xfId="45" applyFont="1" applyFill="1" applyBorder="1" applyAlignment="1" applyProtection="1">
      <alignment vertical="top" shrinkToFit="1"/>
      <protection locked="0"/>
    </xf>
    <xf numFmtId="0" fontId="29" fillId="34" borderId="99" xfId="45" applyFont="1" applyFill="1" applyBorder="1" applyAlignment="1" applyProtection="1">
      <alignment vertical="top" shrinkToFit="1"/>
      <protection locked="0"/>
    </xf>
    <xf numFmtId="0" fontId="29" fillId="35" borderId="100" xfId="0" applyFont="1" applyFill="1" applyBorder="1" applyAlignment="1" applyProtection="1">
      <alignment vertical="top" shrinkToFit="1"/>
      <protection locked="0"/>
    </xf>
    <xf numFmtId="0" fontId="29" fillId="35" borderId="92" xfId="0" applyFont="1" applyFill="1" applyBorder="1" applyAlignment="1" applyProtection="1">
      <alignment vertical="top" shrinkToFit="1"/>
      <protection locked="0"/>
    </xf>
    <xf numFmtId="0" fontId="29" fillId="35" borderId="93" xfId="45" applyFont="1" applyFill="1" applyBorder="1" applyAlignment="1" applyProtection="1">
      <alignment vertical="top" wrapText="1"/>
      <protection locked="0"/>
    </xf>
    <xf numFmtId="0" fontId="29" fillId="34" borderId="102" xfId="45" applyFont="1" applyFill="1" applyBorder="1" applyAlignment="1" applyProtection="1">
      <alignment vertical="top" shrinkToFit="1"/>
      <protection locked="0"/>
    </xf>
    <xf numFmtId="0" fontId="29" fillId="34" borderId="88" xfId="45" applyFont="1" applyFill="1" applyBorder="1" applyAlignment="1" applyProtection="1">
      <alignment vertical="top" shrinkToFit="1"/>
      <protection locked="0"/>
    </xf>
    <xf numFmtId="0" fontId="29" fillId="35" borderId="90" xfId="0" applyFont="1" applyFill="1" applyBorder="1" applyAlignment="1" applyProtection="1">
      <alignment vertical="top" shrinkToFit="1"/>
      <protection locked="0"/>
    </xf>
    <xf numFmtId="0" fontId="29" fillId="34" borderId="103" xfId="45" applyFont="1" applyFill="1" applyBorder="1" applyAlignment="1" applyProtection="1">
      <alignment vertical="top" shrinkToFit="1"/>
      <protection locked="0"/>
    </xf>
    <xf numFmtId="0" fontId="29" fillId="34" borderId="89" xfId="45" applyFont="1" applyFill="1" applyBorder="1" applyAlignment="1" applyProtection="1">
      <alignment vertical="top" shrinkToFit="1"/>
      <protection locked="0"/>
    </xf>
    <xf numFmtId="0" fontId="29" fillId="34" borderId="104" xfId="45" applyFont="1" applyFill="1" applyBorder="1" applyAlignment="1" applyProtection="1">
      <alignment vertical="top" shrinkToFit="1"/>
      <protection locked="0"/>
    </xf>
    <xf numFmtId="0" fontId="29" fillId="34" borderId="96" xfId="45" applyFont="1" applyFill="1" applyBorder="1" applyAlignment="1" applyProtection="1">
      <alignment vertical="top" shrinkToFit="1"/>
      <protection locked="0"/>
    </xf>
    <xf numFmtId="0" fontId="29" fillId="35" borderId="96" xfId="45" applyFont="1" applyFill="1" applyBorder="1" applyAlignment="1" applyProtection="1">
      <alignment vertical="top" shrinkToFit="1"/>
      <protection locked="0"/>
    </xf>
    <xf numFmtId="0" fontId="29" fillId="35" borderId="97" xfId="0" applyFont="1" applyFill="1" applyBorder="1" applyAlignment="1" applyProtection="1">
      <alignment vertical="top"/>
      <protection locked="0"/>
    </xf>
    <xf numFmtId="0" fontId="29" fillId="35" borderId="98" xfId="45" applyFont="1" applyFill="1" applyBorder="1" applyAlignment="1" applyProtection="1">
      <alignment vertical="top" wrapText="1"/>
      <protection locked="0"/>
    </xf>
    <xf numFmtId="0" fontId="29" fillId="35" borderId="84" xfId="45" applyFont="1" applyFill="1" applyBorder="1" applyAlignment="1">
      <alignment vertical="top" shrinkToFit="1"/>
    </xf>
    <xf numFmtId="0" fontId="29" fillId="35" borderId="85" xfId="45" applyFont="1" applyFill="1" applyBorder="1" applyAlignment="1">
      <alignment vertical="top" shrinkToFit="1"/>
    </xf>
    <xf numFmtId="0" fontId="29" fillId="35" borderId="86" xfId="45" applyFont="1" applyFill="1" applyBorder="1" applyAlignment="1">
      <alignment vertical="top" shrinkToFit="1"/>
    </xf>
    <xf numFmtId="0" fontId="29" fillId="35" borderId="89" xfId="45" applyFont="1" applyFill="1" applyBorder="1" applyAlignment="1">
      <alignment vertical="top" shrinkToFit="1"/>
    </xf>
    <xf numFmtId="0" fontId="29" fillId="35" borderId="88" xfId="45" applyFont="1" applyFill="1" applyBorder="1" applyAlignment="1">
      <alignment vertical="top" shrinkToFit="1"/>
    </xf>
    <xf numFmtId="0" fontId="29" fillId="35" borderId="90" xfId="45" applyFont="1" applyFill="1" applyBorder="1" applyAlignment="1">
      <alignment vertical="top" shrinkToFit="1"/>
    </xf>
    <xf numFmtId="0" fontId="29" fillId="35" borderId="91" xfId="45" applyFont="1" applyFill="1" applyBorder="1" applyAlignment="1">
      <alignment vertical="top" shrinkToFit="1"/>
    </xf>
    <xf numFmtId="0" fontId="29" fillId="35" borderId="92" xfId="45" applyFont="1" applyFill="1" applyBorder="1" applyAlignment="1">
      <alignment vertical="top" shrinkToFit="1"/>
    </xf>
    <xf numFmtId="0" fontId="29" fillId="35" borderId="93" xfId="45" applyFont="1" applyFill="1" applyBorder="1" applyAlignment="1">
      <alignment vertical="top" shrinkToFit="1"/>
    </xf>
    <xf numFmtId="0" fontId="29" fillId="35" borderId="87" xfId="45" applyFont="1" applyFill="1" applyBorder="1" applyAlignment="1">
      <alignment vertical="top" shrinkToFit="1"/>
    </xf>
    <xf numFmtId="0" fontId="46" fillId="34" borderId="15" xfId="54" applyFont="1" applyFill="1" applyBorder="1" applyAlignment="1">
      <alignment horizontal="center" vertical="center" wrapText="1" shrinkToFit="1"/>
    </xf>
    <xf numFmtId="0" fontId="46" fillId="34" borderId="55" xfId="54" applyFont="1" applyFill="1" applyBorder="1" applyAlignment="1">
      <alignment horizontal="center" vertical="center" wrapText="1" shrinkToFit="1"/>
    </xf>
    <xf numFmtId="0" fontId="46" fillId="34" borderId="56" xfId="54" applyFont="1" applyFill="1" applyBorder="1" applyAlignment="1">
      <alignment horizontal="center" vertical="center" wrapText="1" shrinkToFit="1"/>
    </xf>
    <xf numFmtId="0" fontId="46" fillId="34" borderId="18" xfId="54" applyFont="1" applyFill="1" applyBorder="1" applyAlignment="1">
      <alignment horizontal="center" vertical="center" wrapText="1" shrinkToFit="1"/>
    </xf>
    <xf numFmtId="0" fontId="46" fillId="34" borderId="17" xfId="54" applyFont="1" applyFill="1" applyBorder="1" applyAlignment="1">
      <alignment horizontal="center" vertical="center" wrapText="1" shrinkToFit="1"/>
    </xf>
    <xf numFmtId="0" fontId="46" fillId="37" borderId="123" xfId="54" applyFont="1" applyFill="1" applyBorder="1" applyAlignment="1">
      <alignment horizontal="center" vertical="center" wrapText="1" shrinkToFit="1"/>
    </xf>
    <xf numFmtId="0" fontId="50" fillId="0" borderId="0" xfId="0" applyFont="1" applyAlignment="1">
      <alignment vertical="top"/>
    </xf>
    <xf numFmtId="0" fontId="51" fillId="34" borderId="74" xfId="0" applyFont="1" applyFill="1" applyBorder="1" applyAlignment="1">
      <alignment horizontal="center" vertical="top"/>
    </xf>
    <xf numFmtId="0" fontId="51" fillId="34" borderId="35" xfId="0" applyFont="1" applyFill="1" applyBorder="1" applyAlignment="1">
      <alignment horizontal="center" vertical="top"/>
    </xf>
    <xf numFmtId="0" fontId="51" fillId="34" borderId="73" xfId="0" applyFont="1" applyFill="1" applyBorder="1" applyAlignment="1">
      <alignment vertical="top"/>
    </xf>
    <xf numFmtId="0" fontId="51" fillId="34" borderId="73" xfId="54" applyFont="1" applyFill="1" applyBorder="1" applyAlignment="1">
      <alignment vertical="top"/>
    </xf>
    <xf numFmtId="0" fontId="51" fillId="34" borderId="22" xfId="0" applyFont="1" applyFill="1" applyBorder="1" applyAlignment="1">
      <alignment vertical="top"/>
    </xf>
    <xf numFmtId="0" fontId="51" fillId="34" borderId="22" xfId="54" applyFont="1" applyFill="1" applyBorder="1" applyAlignment="1">
      <alignment vertical="top"/>
    </xf>
    <xf numFmtId="0" fontId="51" fillId="34" borderId="114" xfId="0" applyFont="1" applyFill="1" applyBorder="1" applyAlignment="1">
      <alignment vertical="top"/>
    </xf>
    <xf numFmtId="0" fontId="46" fillId="26" borderId="0" xfId="54" applyFont="1" applyFill="1" applyAlignment="1">
      <alignment vertical="top"/>
    </xf>
    <xf numFmtId="0" fontId="47" fillId="26" borderId="0" xfId="54" applyFont="1" applyFill="1" applyAlignment="1">
      <alignment vertical="top"/>
    </xf>
    <xf numFmtId="0" fontId="48" fillId="26" borderId="0" xfId="54" applyFont="1" applyFill="1" applyAlignment="1">
      <alignment vertical="top"/>
    </xf>
    <xf numFmtId="0" fontId="46" fillId="0" borderId="0" xfId="54" applyFont="1" applyFill="1" applyBorder="1" applyAlignment="1">
      <alignment vertical="top" wrapText="1" shrinkToFit="1"/>
    </xf>
    <xf numFmtId="0" fontId="49" fillId="26" borderId="0" xfId="54" applyFont="1" applyFill="1" applyAlignment="1">
      <alignment vertical="top"/>
    </xf>
    <xf numFmtId="0" fontId="46" fillId="34" borderId="51" xfId="54" applyFont="1" applyFill="1" applyBorder="1" applyAlignment="1">
      <alignment vertical="top" shrinkToFit="1"/>
    </xf>
    <xf numFmtId="0" fontId="46" fillId="0" borderId="0" xfId="54" applyFont="1" applyFill="1" applyBorder="1" applyAlignment="1">
      <alignment vertical="top"/>
    </xf>
    <xf numFmtId="0" fontId="46" fillId="34" borderId="52" xfId="54" applyFont="1" applyFill="1" applyBorder="1" applyAlignment="1">
      <alignment vertical="top" shrinkToFit="1"/>
    </xf>
    <xf numFmtId="0" fontId="46" fillId="0" borderId="0" xfId="54" applyFont="1" applyFill="1" applyAlignment="1">
      <alignment vertical="top"/>
    </xf>
    <xf numFmtId="0" fontId="46" fillId="34" borderId="53" xfId="54" applyFont="1" applyFill="1" applyBorder="1" applyAlignment="1">
      <alignment vertical="top" shrinkToFit="1"/>
    </xf>
    <xf numFmtId="0" fontId="46" fillId="34" borderId="29" xfId="54" applyFont="1" applyFill="1" applyBorder="1" applyAlignment="1">
      <alignment vertical="top"/>
    </xf>
    <xf numFmtId="0" fontId="46" fillId="0" borderId="57" xfId="54" applyFont="1" applyFill="1" applyBorder="1" applyAlignment="1">
      <alignment horizontal="center" vertical="top"/>
    </xf>
    <xf numFmtId="0" fontId="46" fillId="0" borderId="58" xfId="54" applyFont="1" applyFill="1" applyBorder="1" applyAlignment="1">
      <alignment horizontal="center" vertical="top"/>
    </xf>
    <xf numFmtId="0" fontId="46" fillId="0" borderId="24" xfId="54" applyFont="1" applyFill="1" applyBorder="1" applyAlignment="1">
      <alignment horizontal="center" vertical="top"/>
    </xf>
    <xf numFmtId="0" fontId="46" fillId="0" borderId="23" xfId="54" applyFont="1" applyFill="1" applyBorder="1" applyAlignment="1">
      <alignment horizontal="center" vertical="top"/>
    </xf>
    <xf numFmtId="0" fontId="46" fillId="0" borderId="125" xfId="54" applyFont="1" applyFill="1" applyBorder="1" applyAlignment="1">
      <alignment horizontal="center" vertical="top"/>
    </xf>
    <xf numFmtId="0" fontId="46" fillId="0" borderId="122" xfId="54" applyFont="1" applyFill="1" applyBorder="1" applyAlignment="1">
      <alignment horizontal="center" vertical="top"/>
    </xf>
    <xf numFmtId="0" fontId="46" fillId="0" borderId="59" xfId="54" applyFont="1" applyFill="1" applyBorder="1" applyAlignment="1">
      <alignment horizontal="center" vertical="top"/>
    </xf>
    <xf numFmtId="0" fontId="46" fillId="0" borderId="60" xfId="54" applyFont="1" applyFill="1" applyBorder="1" applyAlignment="1">
      <alignment horizontal="center" vertical="top"/>
    </xf>
    <xf numFmtId="0" fontId="46" fillId="0" borderId="54" xfId="54" applyFont="1" applyFill="1" applyBorder="1" applyAlignment="1">
      <alignment horizontal="center" vertical="top"/>
    </xf>
    <xf numFmtId="0" fontId="46" fillId="0" borderId="121" xfId="54" applyFont="1" applyFill="1" applyBorder="1" applyAlignment="1">
      <alignment horizontal="center" vertical="top"/>
    </xf>
    <xf numFmtId="0" fontId="46" fillId="0" borderId="126" xfId="54" applyFont="1" applyFill="1" applyBorder="1" applyAlignment="1">
      <alignment horizontal="center" vertical="top"/>
    </xf>
    <xf numFmtId="0" fontId="46" fillId="0" borderId="61" xfId="54" applyFont="1" applyFill="1" applyBorder="1" applyAlignment="1">
      <alignment horizontal="center" vertical="top"/>
    </xf>
    <xf numFmtId="0" fontId="46" fillId="0" borderId="62" xfId="54" applyFont="1" applyFill="1" applyBorder="1" applyAlignment="1">
      <alignment horizontal="center" vertical="top"/>
    </xf>
    <xf numFmtId="0" fontId="46" fillId="0" borderId="30" xfId="54" applyFont="1" applyFill="1" applyBorder="1" applyAlignment="1">
      <alignment horizontal="center" vertical="top"/>
    </xf>
    <xf numFmtId="0" fontId="46" fillId="0" borderId="26" xfId="54" applyFont="1" applyFill="1" applyBorder="1" applyAlignment="1">
      <alignment horizontal="center" vertical="top"/>
    </xf>
    <xf numFmtId="0" fontId="46" fillId="0" borderId="124" xfId="54" applyFont="1" applyFill="1" applyBorder="1" applyAlignment="1">
      <alignment horizontal="center" vertical="top"/>
    </xf>
    <xf numFmtId="0" fontId="46" fillId="34" borderId="65" xfId="54" applyFont="1" applyFill="1" applyBorder="1" applyAlignment="1">
      <alignment horizontal="center" vertical="top"/>
    </xf>
    <xf numFmtId="0" fontId="46" fillId="0" borderId="32" xfId="54" applyFont="1" applyFill="1" applyBorder="1" applyAlignment="1">
      <alignment horizontal="center" vertical="top" shrinkToFit="1"/>
    </xf>
    <xf numFmtId="0" fontId="46" fillId="0" borderId="48" xfId="54" applyFont="1" applyFill="1" applyBorder="1" applyAlignment="1">
      <alignment horizontal="center" vertical="top" shrinkToFit="1"/>
    </xf>
    <xf numFmtId="0" fontId="46" fillId="0" borderId="50" xfId="54" applyFont="1" applyFill="1" applyBorder="1" applyAlignment="1">
      <alignment horizontal="center" vertical="top" shrinkToFit="1"/>
    </xf>
    <xf numFmtId="0" fontId="46" fillId="34" borderId="31" xfId="54" applyFont="1" applyFill="1" applyBorder="1" applyAlignment="1">
      <alignment horizontal="center" vertical="top"/>
    </xf>
    <xf numFmtId="0" fontId="46" fillId="0" borderId="47" xfId="54" applyFont="1" applyFill="1" applyBorder="1" applyAlignment="1">
      <alignment horizontal="center" vertical="top" shrinkToFit="1"/>
    </xf>
    <xf numFmtId="0" fontId="55" fillId="29" borderId="35" xfId="48" applyFont="1" applyFill="1" applyBorder="1" applyAlignment="1">
      <alignment horizontal="center" vertical="center" wrapText="1"/>
    </xf>
    <xf numFmtId="0" fontId="55" fillId="29" borderId="36" xfId="48" applyFont="1" applyFill="1" applyBorder="1" applyAlignment="1">
      <alignment horizontal="center" vertical="center" wrapText="1"/>
    </xf>
    <xf numFmtId="0" fontId="55" fillId="29" borderId="37" xfId="48" applyFont="1" applyFill="1" applyBorder="1" applyAlignment="1">
      <alignment horizontal="center" vertical="center" wrapText="1"/>
    </xf>
    <xf numFmtId="0" fontId="55" fillId="29" borderId="38" xfId="48" applyFont="1" applyFill="1" applyBorder="1" applyAlignment="1">
      <alignment horizontal="center" vertical="center" wrapText="1"/>
    </xf>
    <xf numFmtId="0" fontId="55" fillId="31" borderId="37" xfId="48" applyFont="1" applyFill="1" applyBorder="1" applyAlignment="1">
      <alignment horizontal="center" vertical="center" wrapText="1"/>
    </xf>
    <xf numFmtId="0" fontId="55" fillId="32" borderId="37" xfId="48" applyFont="1" applyFill="1" applyBorder="1" applyAlignment="1">
      <alignment horizontal="center" vertical="center" wrapText="1"/>
    </xf>
    <xf numFmtId="0" fontId="55" fillId="32" borderId="39" xfId="48" applyFont="1" applyFill="1" applyBorder="1" applyAlignment="1">
      <alignment horizontal="center" vertical="center" wrapText="1"/>
    </xf>
    <xf numFmtId="0" fontId="55" fillId="31" borderId="35" xfId="48" applyFont="1" applyFill="1" applyBorder="1" applyAlignment="1">
      <alignment horizontal="center" vertical="center" wrapText="1"/>
    </xf>
    <xf numFmtId="0" fontId="55" fillId="32" borderId="38" xfId="48" applyFont="1" applyFill="1" applyBorder="1" applyAlignment="1">
      <alignment horizontal="center" vertical="center" wrapText="1"/>
    </xf>
    <xf numFmtId="0" fontId="55" fillId="32" borderId="31" xfId="48" applyFont="1" applyFill="1" applyBorder="1" applyAlignment="1">
      <alignment horizontal="center" vertical="center" wrapText="1"/>
    </xf>
    <xf numFmtId="0" fontId="55" fillId="40" borderId="35" xfId="48" applyFont="1" applyFill="1" applyBorder="1" applyAlignment="1">
      <alignment horizontal="center" vertical="center" wrapText="1"/>
    </xf>
    <xf numFmtId="0" fontId="55" fillId="40" borderId="37" xfId="48" applyFont="1" applyFill="1" applyBorder="1" applyAlignment="1">
      <alignment horizontal="center" vertical="center" wrapText="1"/>
    </xf>
    <xf numFmtId="0" fontId="55" fillId="40" borderId="31" xfId="48" applyFont="1" applyFill="1" applyBorder="1" applyAlignment="1">
      <alignment horizontal="center" vertical="center" wrapText="1"/>
    </xf>
    <xf numFmtId="0" fontId="53" fillId="26" borderId="0" xfId="48" applyFont="1" applyFill="1" applyAlignment="1">
      <alignment vertical="top"/>
    </xf>
    <xf numFmtId="0" fontId="54" fillId="26" borderId="0" xfId="48" applyFont="1" applyFill="1" applyAlignment="1">
      <alignment vertical="top"/>
    </xf>
    <xf numFmtId="0" fontId="53" fillId="34" borderId="35" xfId="48" applyFont="1" applyFill="1" applyBorder="1" applyAlignment="1">
      <alignment vertical="top" shrinkToFit="1"/>
    </xf>
    <xf numFmtId="0" fontId="53" fillId="34" borderId="77" xfId="48" applyFont="1" applyFill="1" applyBorder="1" applyAlignment="1">
      <alignment vertical="top" shrinkToFit="1"/>
    </xf>
    <xf numFmtId="0" fontId="53" fillId="26" borderId="21" xfId="48" applyFont="1" applyFill="1" applyBorder="1" applyAlignment="1">
      <alignment vertical="top"/>
    </xf>
    <xf numFmtId="0" fontId="53" fillId="26" borderId="0" xfId="48" applyFont="1" applyFill="1" applyBorder="1" applyAlignment="1">
      <alignment vertical="top"/>
    </xf>
    <xf numFmtId="0" fontId="53" fillId="34" borderId="40" xfId="48" applyFont="1" applyFill="1" applyBorder="1" applyAlignment="1">
      <alignment vertical="top" shrinkToFit="1"/>
    </xf>
    <xf numFmtId="0" fontId="53" fillId="28" borderId="34" xfId="48" applyFont="1" applyFill="1" applyBorder="1" applyAlignment="1">
      <alignment vertical="top"/>
    </xf>
    <xf numFmtId="0" fontId="53" fillId="0" borderId="34" xfId="48" applyFont="1" applyFill="1" applyBorder="1" applyAlignment="1">
      <alignment vertical="top"/>
    </xf>
    <xf numFmtId="0" fontId="53" fillId="30" borderId="34" xfId="48" applyFont="1" applyFill="1" applyBorder="1" applyAlignment="1">
      <alignment vertical="top"/>
    </xf>
    <xf numFmtId="0" fontId="53" fillId="37" borderId="67" xfId="48" applyFont="1" applyFill="1" applyBorder="1" applyAlignment="1">
      <alignment vertical="top"/>
    </xf>
    <xf numFmtId="0" fontId="54" fillId="26" borderId="0" xfId="29" applyFont="1" applyFill="1" applyBorder="1" applyAlignment="1" applyProtection="1">
      <alignment vertical="top"/>
    </xf>
    <xf numFmtId="14" fontId="53" fillId="26" borderId="0" xfId="48" applyNumberFormat="1" applyFont="1" applyFill="1" applyBorder="1" applyAlignment="1">
      <alignment vertical="top"/>
    </xf>
    <xf numFmtId="0" fontId="53" fillId="0" borderId="0" xfId="48" applyFont="1" applyFill="1" applyAlignment="1">
      <alignment vertical="top"/>
    </xf>
    <xf numFmtId="0" fontId="53" fillId="0" borderId="11" xfId="49" applyFont="1" applyFill="1" applyBorder="1" applyAlignment="1" applyProtection="1">
      <alignment vertical="top" shrinkToFit="1"/>
      <protection locked="0"/>
    </xf>
    <xf numFmtId="0" fontId="53" fillId="0" borderId="11" xfId="49" applyFont="1" applyFill="1" applyBorder="1" applyAlignment="1" applyProtection="1">
      <alignment vertical="top" wrapText="1"/>
      <protection locked="0"/>
    </xf>
    <xf numFmtId="0" fontId="53" fillId="24" borderId="79" xfId="48" applyFont="1" applyFill="1" applyBorder="1" applyAlignment="1">
      <alignment vertical="top" shrinkToFit="1"/>
    </xf>
    <xf numFmtId="0" fontId="53" fillId="26" borderId="0" xfId="48" applyFont="1" applyFill="1" applyBorder="1" applyAlignment="1">
      <alignment vertical="top" shrinkToFit="1"/>
    </xf>
    <xf numFmtId="0" fontId="54" fillId="26" borderId="0" xfId="29" applyFont="1" applyFill="1" applyAlignment="1" applyProtection="1">
      <alignment vertical="top"/>
    </xf>
    <xf numFmtId="0" fontId="53" fillId="0" borderId="0" xfId="47" applyFont="1" applyAlignment="1">
      <alignment vertical="top"/>
    </xf>
    <xf numFmtId="0" fontId="53" fillId="0" borderId="0" xfId="0" applyFont="1" applyAlignment="1">
      <alignment vertical="top"/>
    </xf>
    <xf numFmtId="0" fontId="56" fillId="0" borderId="0" xfId="0" applyFont="1" applyAlignment="1">
      <alignment vertical="top"/>
    </xf>
    <xf numFmtId="0" fontId="57" fillId="0" borderId="0" xfId="0" applyFont="1" applyAlignment="1">
      <alignment vertical="top"/>
    </xf>
    <xf numFmtId="0" fontId="58" fillId="0" borderId="0" xfId="0" applyFont="1" applyAlignment="1">
      <alignment vertical="top"/>
    </xf>
    <xf numFmtId="0" fontId="54" fillId="0" borderId="0" xfId="29" applyFont="1" applyAlignment="1" applyProtection="1">
      <alignment vertical="top"/>
    </xf>
    <xf numFmtId="0" fontId="53" fillId="0" borderId="0" xfId="50" applyFont="1" applyAlignment="1">
      <alignment vertical="top"/>
    </xf>
    <xf numFmtId="0" fontId="53" fillId="0" borderId="0" xfId="50" applyFont="1" applyBorder="1" applyAlignment="1">
      <alignment vertical="top"/>
    </xf>
    <xf numFmtId="0" fontId="53" fillId="0" borderId="0" xfId="44" applyFont="1" applyAlignment="1">
      <alignment vertical="top"/>
    </xf>
    <xf numFmtId="0" fontId="57" fillId="26" borderId="0" xfId="50" applyFont="1" applyFill="1" applyAlignment="1">
      <alignment vertical="top"/>
    </xf>
    <xf numFmtId="49" fontId="57" fillId="26" borderId="0" xfId="50" applyNumberFormat="1" applyFont="1" applyFill="1" applyAlignment="1">
      <alignment vertical="top"/>
    </xf>
    <xf numFmtId="0" fontId="61" fillId="34" borderId="43" xfId="50" applyFont="1" applyFill="1" applyBorder="1" applyAlignment="1">
      <alignment vertical="top"/>
    </xf>
    <xf numFmtId="0" fontId="61" fillId="34" borderId="52" xfId="50" applyFont="1" applyFill="1" applyBorder="1" applyAlignment="1">
      <alignment vertical="top"/>
    </xf>
    <xf numFmtId="0" fontId="61" fillId="34" borderId="63" xfId="50" applyFont="1" applyFill="1" applyBorder="1" applyAlignment="1">
      <alignment vertical="top"/>
    </xf>
    <xf numFmtId="0" fontId="53" fillId="0" borderId="64" xfId="0" applyFont="1" applyFill="1" applyBorder="1" applyAlignment="1">
      <alignment vertical="top"/>
    </xf>
    <xf numFmtId="0" fontId="53" fillId="0" borderId="21" xfId="0" applyFont="1" applyFill="1" applyBorder="1" applyAlignment="1">
      <alignment vertical="top"/>
    </xf>
    <xf numFmtId="0" fontId="53" fillId="0" borderId="63" xfId="0" applyFont="1" applyFill="1" applyBorder="1" applyAlignment="1">
      <alignment vertical="top"/>
    </xf>
    <xf numFmtId="0" fontId="59" fillId="0" borderId="0" xfId="50" applyFont="1" applyAlignment="1"/>
    <xf numFmtId="0" fontId="60" fillId="0" borderId="0" xfId="44" applyFont="1" applyAlignment="1">
      <alignment horizontal="right" vertical="top"/>
    </xf>
    <xf numFmtId="0" fontId="57" fillId="0" borderId="0" xfId="44" applyFont="1" applyBorder="1" applyAlignment="1">
      <alignment horizontal="left" vertical="top"/>
    </xf>
    <xf numFmtId="0" fontId="57" fillId="0" borderId="0" xfId="53" applyFont="1" applyAlignment="1">
      <alignment horizontal="left" vertical="top"/>
    </xf>
    <xf numFmtId="0" fontId="53" fillId="34" borderId="15" xfId="0" applyFont="1" applyFill="1" applyBorder="1" applyAlignment="1">
      <alignment horizontal="center" vertical="top"/>
    </xf>
    <xf numFmtId="0" fontId="53" fillId="28" borderId="31" xfId="48" applyFont="1" applyFill="1" applyBorder="1" applyAlignment="1">
      <alignment horizontal="center" vertical="top"/>
    </xf>
    <xf numFmtId="0" fontId="53" fillId="28" borderId="32" xfId="48" applyFont="1" applyFill="1" applyBorder="1" applyAlignment="1">
      <alignment horizontal="center" vertical="top"/>
    </xf>
    <xf numFmtId="0" fontId="53" fillId="28" borderId="47" xfId="48" applyFont="1" applyFill="1" applyBorder="1" applyAlignment="1">
      <alignment horizontal="center" vertical="top"/>
    </xf>
    <xf numFmtId="0" fontId="53" fillId="28" borderId="33" xfId="48" applyFont="1" applyFill="1" applyBorder="1" applyAlignment="1">
      <alignment horizontal="center" vertical="top"/>
    </xf>
    <xf numFmtId="0" fontId="53" fillId="28" borderId="40" xfId="48" applyFont="1" applyFill="1" applyBorder="1" applyAlignment="1">
      <alignment horizontal="center" vertical="top" shrinkToFit="1"/>
    </xf>
    <xf numFmtId="0" fontId="53" fillId="28" borderId="41" xfId="48" applyFont="1" applyFill="1" applyBorder="1" applyAlignment="1">
      <alignment horizontal="center" vertical="top" shrinkToFit="1"/>
    </xf>
    <xf numFmtId="0" fontId="54" fillId="28" borderId="10" xfId="29" applyFont="1" applyFill="1" applyBorder="1" applyAlignment="1" applyProtection="1">
      <alignment horizontal="center" vertical="top" shrinkToFit="1"/>
    </xf>
    <xf numFmtId="0" fontId="53" fillId="0" borderId="10" xfId="49" applyFont="1" applyFill="1" applyBorder="1" applyAlignment="1" applyProtection="1">
      <alignment horizontal="center" vertical="top" shrinkToFit="1"/>
      <protection locked="0"/>
    </xf>
    <xf numFmtId="0" fontId="53" fillId="0" borderId="11" xfId="49" applyFont="1" applyFill="1" applyBorder="1" applyAlignment="1" applyProtection="1">
      <alignment horizontal="center" vertical="top" shrinkToFit="1"/>
      <protection locked="0"/>
    </xf>
    <xf numFmtId="0" fontId="53" fillId="24" borderId="67" xfId="48" applyFont="1" applyFill="1" applyBorder="1" applyAlignment="1">
      <alignment horizontal="center" vertical="top" shrinkToFit="1"/>
    </xf>
    <xf numFmtId="0" fontId="53" fillId="24" borderId="78" xfId="48" applyFont="1" applyFill="1" applyBorder="1" applyAlignment="1">
      <alignment horizontal="center" vertical="top" shrinkToFit="1"/>
    </xf>
    <xf numFmtId="0" fontId="54" fillId="24" borderId="72" xfId="29" quotePrefix="1" applyFont="1" applyFill="1" applyBorder="1" applyAlignment="1" applyProtection="1">
      <alignment horizontal="center" vertical="top" shrinkToFit="1"/>
    </xf>
    <xf numFmtId="0" fontId="53" fillId="24" borderId="72" xfId="48" applyFont="1" applyFill="1" applyBorder="1" applyAlignment="1">
      <alignment horizontal="center" vertical="top" shrinkToFit="1"/>
    </xf>
    <xf numFmtId="0" fontId="53" fillId="24" borderId="79" xfId="48" applyFont="1" applyFill="1" applyBorder="1" applyAlignment="1">
      <alignment horizontal="center" vertical="top" shrinkToFit="1"/>
    </xf>
    <xf numFmtId="0" fontId="53" fillId="0" borderId="41" xfId="49" applyFont="1" applyFill="1" applyBorder="1" applyAlignment="1" applyProtection="1">
      <alignment horizontal="center" vertical="top" shrinkToFit="1"/>
      <protection locked="0"/>
    </xf>
    <xf numFmtId="176" fontId="53" fillId="28" borderId="10" xfId="48" applyNumberFormat="1" applyFont="1" applyFill="1" applyBorder="1" applyAlignment="1" applyProtection="1">
      <alignment horizontal="center" vertical="top" wrapText="1" shrinkToFit="1"/>
    </xf>
    <xf numFmtId="176" fontId="53" fillId="28" borderId="10" xfId="48" applyNumberFormat="1" applyFont="1" applyFill="1" applyBorder="1" applyAlignment="1">
      <alignment horizontal="center" vertical="top"/>
    </xf>
    <xf numFmtId="176" fontId="53" fillId="28" borderId="42" xfId="48" applyNumberFormat="1" applyFont="1" applyFill="1" applyBorder="1" applyAlignment="1">
      <alignment horizontal="center" vertical="top"/>
    </xf>
    <xf numFmtId="0" fontId="53" fillId="24" borderId="72" xfId="48" applyFont="1" applyFill="1" applyBorder="1" applyAlignment="1">
      <alignment horizontal="center" vertical="top"/>
    </xf>
    <xf numFmtId="0" fontId="53" fillId="24" borderId="75" xfId="48" applyFont="1" applyFill="1" applyBorder="1" applyAlignment="1">
      <alignment horizontal="center" vertical="top"/>
    </xf>
    <xf numFmtId="176" fontId="53" fillId="0" borderId="40" xfId="48" applyNumberFormat="1" applyFont="1" applyFill="1" applyBorder="1" applyAlignment="1">
      <alignment horizontal="center" vertical="top"/>
    </xf>
    <xf numFmtId="0" fontId="53" fillId="28" borderId="11" xfId="48" applyFont="1" applyFill="1" applyBorder="1" applyAlignment="1">
      <alignment horizontal="center" vertical="top"/>
    </xf>
    <xf numFmtId="0" fontId="53" fillId="28" borderId="42" xfId="48" applyFont="1" applyFill="1" applyBorder="1" applyAlignment="1">
      <alignment horizontal="center" vertical="top"/>
    </xf>
    <xf numFmtId="0" fontId="53" fillId="28" borderId="40" xfId="48" applyFont="1" applyFill="1" applyBorder="1" applyAlignment="1">
      <alignment horizontal="center" vertical="top"/>
    </xf>
    <xf numFmtId="0" fontId="53" fillId="28" borderId="10" xfId="48" applyFont="1" applyFill="1" applyBorder="1" applyAlignment="1">
      <alignment horizontal="center" vertical="top"/>
    </xf>
    <xf numFmtId="0" fontId="53" fillId="24" borderId="79" xfId="48" applyFont="1" applyFill="1" applyBorder="1" applyAlignment="1">
      <alignment horizontal="center" vertical="top"/>
    </xf>
    <xf numFmtId="0" fontId="53" fillId="24" borderId="47" xfId="48" applyFont="1" applyFill="1" applyBorder="1" applyAlignment="1">
      <alignment horizontal="center" vertical="top"/>
    </xf>
    <xf numFmtId="0" fontId="53" fillId="24" borderId="67" xfId="48" applyFont="1" applyFill="1" applyBorder="1" applyAlignment="1">
      <alignment horizontal="center" vertical="top"/>
    </xf>
    <xf numFmtId="0" fontId="29" fillId="34" borderId="74" xfId="45" applyFont="1" applyFill="1" applyBorder="1" applyAlignment="1">
      <alignment vertical="top" shrinkToFit="1"/>
    </xf>
    <xf numFmtId="0" fontId="29" fillId="26" borderId="0" xfId="45" applyFont="1" applyFill="1" applyBorder="1" applyAlignment="1">
      <alignment vertical="top"/>
    </xf>
    <xf numFmtId="0" fontId="31" fillId="26" borderId="0" xfId="29" applyFont="1" applyFill="1" applyAlignment="1" applyProtection="1">
      <alignment vertical="top"/>
    </xf>
    <xf numFmtId="0" fontId="29" fillId="0" borderId="27" xfId="45" applyFont="1" applyFill="1" applyBorder="1" applyAlignment="1">
      <alignment vertical="top"/>
    </xf>
    <xf numFmtId="0" fontId="29" fillId="34" borderId="43" xfId="45" applyFont="1" applyFill="1" applyBorder="1" applyAlignment="1">
      <alignment vertical="top" shrinkToFit="1"/>
    </xf>
    <xf numFmtId="0" fontId="29" fillId="34" borderId="52" xfId="45" applyFont="1" applyFill="1" applyBorder="1" applyAlignment="1">
      <alignment vertical="top" shrinkToFit="1"/>
    </xf>
    <xf numFmtId="0" fontId="29" fillId="39" borderId="52" xfId="45" applyFont="1" applyFill="1" applyBorder="1" applyAlignment="1">
      <alignment vertical="top" shrinkToFit="1"/>
    </xf>
    <xf numFmtId="0" fontId="29" fillId="39" borderId="63" xfId="45" applyFont="1" applyFill="1" applyBorder="1" applyAlignment="1">
      <alignment vertical="top" shrinkToFit="1"/>
    </xf>
    <xf numFmtId="0" fontId="29" fillId="38" borderId="10" xfId="45" applyFont="1" applyFill="1" applyBorder="1" applyAlignment="1">
      <alignment horizontal="center" vertical="top" shrinkToFit="1"/>
    </xf>
    <xf numFmtId="178" fontId="29" fillId="38" borderId="32" xfId="45" applyNumberFormat="1" applyFont="1" applyFill="1" applyBorder="1" applyAlignment="1">
      <alignment horizontal="center" vertical="top" shrinkToFit="1"/>
    </xf>
    <xf numFmtId="0" fontId="29" fillId="38" borderId="72" xfId="45" applyFont="1" applyFill="1" applyBorder="1" applyAlignment="1">
      <alignment horizontal="center" vertical="top" shrinkToFit="1"/>
    </xf>
    <xf numFmtId="178" fontId="29" fillId="38" borderId="47" xfId="45" applyNumberFormat="1" applyFont="1" applyFill="1" applyBorder="1" applyAlignment="1">
      <alignment horizontal="center" vertical="top" shrinkToFit="1"/>
    </xf>
    <xf numFmtId="49" fontId="29" fillId="0" borderId="69" xfId="0" applyNumberFormat="1" applyFont="1" applyBorder="1" applyAlignment="1">
      <alignment horizontal="center" vertical="top"/>
    </xf>
    <xf numFmtId="49" fontId="29" fillId="39" borderId="72" xfId="0" applyNumberFormat="1" applyFont="1" applyFill="1" applyBorder="1" applyAlignment="1">
      <alignment horizontal="center" vertical="top"/>
    </xf>
    <xf numFmtId="0" fontId="29" fillId="34" borderId="120" xfId="45" applyFont="1" applyFill="1" applyBorder="1" applyAlignment="1">
      <alignment horizontal="center" vertical="center" wrapText="1"/>
    </xf>
    <xf numFmtId="180" fontId="29" fillId="39" borderId="75" xfId="45" applyNumberFormat="1" applyFont="1" applyFill="1" applyBorder="1" applyAlignment="1" applyProtection="1">
      <alignment vertical="top"/>
      <protection locked="0"/>
    </xf>
    <xf numFmtId="180" fontId="29" fillId="39" borderId="78" xfId="45" applyNumberFormat="1" applyFont="1" applyFill="1" applyBorder="1" applyAlignment="1" applyProtection="1">
      <alignment vertical="top"/>
      <protection locked="0"/>
    </xf>
    <xf numFmtId="180" fontId="29" fillId="39" borderId="79" xfId="45" applyNumberFormat="1" applyFont="1" applyFill="1" applyBorder="1" applyAlignment="1" applyProtection="1">
      <alignment vertical="top"/>
      <protection locked="0"/>
    </xf>
    <xf numFmtId="178" fontId="29" fillId="26" borderId="68" xfId="45" applyNumberFormat="1" applyFont="1" applyFill="1" applyBorder="1" applyAlignment="1" applyProtection="1">
      <alignment horizontal="center" vertical="center" shrinkToFit="1"/>
      <protection locked="0"/>
    </xf>
    <xf numFmtId="178" fontId="29" fillId="26" borderId="40" xfId="45" applyNumberFormat="1" applyFont="1" applyFill="1" applyBorder="1" applyAlignment="1" applyProtection="1">
      <alignment horizontal="center" vertical="center" shrinkToFit="1"/>
      <protection locked="0"/>
    </xf>
    <xf numFmtId="0" fontId="29" fillId="28" borderId="48" xfId="45" applyFont="1" applyFill="1" applyBorder="1" applyAlignment="1">
      <alignment horizontal="center" vertical="center" shrinkToFit="1"/>
    </xf>
    <xf numFmtId="0" fontId="29" fillId="28" borderId="32" xfId="45" applyFont="1" applyFill="1" applyBorder="1" applyAlignment="1">
      <alignment horizontal="center" vertical="center" shrinkToFit="1"/>
    </xf>
    <xf numFmtId="0" fontId="29" fillId="39" borderId="47" xfId="45" applyFont="1" applyFill="1" applyBorder="1" applyAlignment="1">
      <alignment horizontal="center" vertical="center"/>
    </xf>
    <xf numFmtId="0" fontId="29" fillId="33" borderId="43" xfId="45" applyFont="1" applyFill="1" applyBorder="1" applyAlignment="1">
      <alignment vertical="top" shrinkToFit="1"/>
    </xf>
    <xf numFmtId="0" fontId="29" fillId="33" borderId="36" xfId="45" applyFont="1" applyFill="1" applyBorder="1" applyAlignment="1">
      <alignment vertical="top" shrinkToFit="1"/>
    </xf>
    <xf numFmtId="0" fontId="29" fillId="28" borderId="43" xfId="45" applyFont="1" applyFill="1" applyBorder="1" applyAlignment="1">
      <alignment vertical="top"/>
    </xf>
    <xf numFmtId="0" fontId="29" fillId="28" borderId="36" xfId="45" applyFont="1" applyFill="1" applyBorder="1" applyAlignment="1">
      <alignment vertical="top" shrinkToFit="1"/>
    </xf>
    <xf numFmtId="0" fontId="29" fillId="28" borderId="36" xfId="45" applyFont="1" applyFill="1" applyBorder="1" applyAlignment="1">
      <alignment vertical="top"/>
    </xf>
    <xf numFmtId="0" fontId="29" fillId="32" borderId="43" xfId="45" applyFont="1" applyFill="1" applyBorder="1" applyAlignment="1">
      <alignment vertical="top"/>
    </xf>
    <xf numFmtId="0" fontId="29" fillId="32" borderId="36" xfId="45" applyFont="1" applyFill="1" applyBorder="1" applyAlignment="1">
      <alignment vertical="top" shrinkToFit="1"/>
    </xf>
    <xf numFmtId="0" fontId="29" fillId="32" borderId="44" xfId="45" applyFont="1" applyFill="1" applyBorder="1" applyAlignment="1">
      <alignment vertical="top" shrinkToFit="1"/>
    </xf>
    <xf numFmtId="0" fontId="29" fillId="31" borderId="43" xfId="45" applyFont="1" applyFill="1" applyBorder="1" applyAlignment="1">
      <alignment vertical="top" shrinkToFit="1"/>
    </xf>
    <xf numFmtId="0" fontId="29" fillId="31" borderId="36" xfId="45" applyFont="1" applyFill="1" applyBorder="1" applyAlignment="1">
      <alignment vertical="top" shrinkToFit="1"/>
    </xf>
    <xf numFmtId="0" fontId="29" fillId="30" borderId="45" xfId="45" applyFont="1" applyFill="1" applyBorder="1" applyAlignment="1">
      <alignment vertical="top"/>
    </xf>
    <xf numFmtId="0" fontId="29" fillId="24" borderId="45" xfId="45" applyFont="1" applyFill="1" applyBorder="1" applyAlignment="1">
      <alignment vertical="top" wrapText="1" shrinkToFit="1"/>
    </xf>
    <xf numFmtId="0" fontId="29" fillId="30" borderId="105" xfId="45" applyFont="1" applyFill="1" applyBorder="1" applyAlignment="1">
      <alignment vertical="top"/>
    </xf>
    <xf numFmtId="0" fontId="29" fillId="24" borderId="105" xfId="45" applyFont="1" applyFill="1" applyBorder="1" applyAlignment="1">
      <alignment vertical="top" shrinkToFit="1"/>
    </xf>
    <xf numFmtId="0" fontId="29" fillId="0" borderId="72" xfId="45" applyFont="1" applyFill="1" applyBorder="1" applyAlignment="1" applyProtection="1">
      <alignment horizontal="center" vertical="top" wrapText="1"/>
      <protection locked="0"/>
    </xf>
    <xf numFmtId="0" fontId="29" fillId="28" borderId="106" xfId="45" applyFont="1" applyFill="1" applyBorder="1" applyAlignment="1">
      <alignment horizontal="center" vertical="top" shrinkToFit="1"/>
    </xf>
    <xf numFmtId="0" fontId="29" fillId="41" borderId="33" xfId="45" applyFont="1" applyFill="1" applyBorder="1" applyAlignment="1">
      <alignment horizontal="center" vertical="top" shrinkToFit="1"/>
    </xf>
    <xf numFmtId="0" fontId="29" fillId="0" borderId="32" xfId="45" applyNumberFormat="1" applyFont="1" applyFill="1" applyBorder="1" applyAlignment="1" applyProtection="1">
      <alignment horizontal="center" vertical="top" shrinkToFit="1"/>
      <protection locked="0"/>
    </xf>
    <xf numFmtId="0" fontId="29" fillId="24" borderId="47" xfId="45" applyNumberFormat="1" applyFont="1" applyFill="1" applyBorder="1" applyAlignment="1">
      <alignment horizontal="center" vertical="top" shrinkToFit="1"/>
    </xf>
    <xf numFmtId="0" fontId="29" fillId="37" borderId="37" xfId="45" applyFont="1" applyFill="1" applyBorder="1" applyAlignment="1">
      <alignment horizontal="center" vertical="top" shrinkToFit="1"/>
    </xf>
    <xf numFmtId="0" fontId="29" fillId="37" borderId="31" xfId="45" applyFont="1" applyFill="1" applyBorder="1" applyAlignment="1">
      <alignment horizontal="center" vertical="top" shrinkToFit="1"/>
    </xf>
    <xf numFmtId="182" fontId="29" fillId="28" borderId="69" xfId="45" applyNumberFormat="1" applyFont="1" applyFill="1" applyBorder="1" applyAlignment="1" applyProtection="1">
      <alignment horizontal="center" vertical="top" wrapText="1" shrinkToFit="1"/>
      <protection locked="0"/>
    </xf>
    <xf numFmtId="182" fontId="29" fillId="26" borderId="10" xfId="45" applyNumberFormat="1" applyFont="1" applyFill="1" applyBorder="1" applyAlignment="1" applyProtection="1">
      <alignment horizontal="center" vertical="top" wrapText="1" shrinkToFit="1"/>
      <protection locked="0"/>
    </xf>
    <xf numFmtId="182" fontId="29" fillId="39" borderId="72" xfId="45" applyNumberFormat="1" applyFont="1" applyFill="1" applyBorder="1" applyAlignment="1" applyProtection="1">
      <alignment horizontal="center" vertical="top"/>
      <protection locked="0"/>
    </xf>
    <xf numFmtId="182" fontId="53" fillId="0" borderId="10" xfId="49" applyNumberFormat="1" applyFont="1" applyFill="1" applyBorder="1" applyAlignment="1" applyProtection="1">
      <alignment horizontal="center" vertical="top" shrinkToFit="1"/>
      <protection locked="0"/>
    </xf>
    <xf numFmtId="182" fontId="53" fillId="24" borderId="72" xfId="48" applyNumberFormat="1" applyFont="1" applyFill="1" applyBorder="1" applyAlignment="1">
      <alignment horizontal="center" vertical="top" shrinkToFit="1"/>
    </xf>
    <xf numFmtId="182" fontId="29" fillId="26" borderId="69" xfId="45" applyNumberFormat="1" applyFont="1" applyFill="1" applyBorder="1" applyAlignment="1" applyProtection="1">
      <alignment vertical="top" wrapText="1" shrinkToFit="1"/>
      <protection locked="0"/>
    </xf>
    <xf numFmtId="182" fontId="29" fillId="26" borderId="10" xfId="45" applyNumberFormat="1" applyFont="1" applyFill="1" applyBorder="1" applyAlignment="1" applyProtection="1">
      <alignment vertical="top" wrapText="1" shrinkToFit="1"/>
      <protection locked="0"/>
    </xf>
    <xf numFmtId="182" fontId="29" fillId="39" borderId="72" xfId="45" applyNumberFormat="1" applyFont="1" applyFill="1" applyBorder="1" applyAlignment="1" applyProtection="1">
      <alignment vertical="top"/>
      <protection locked="0"/>
    </xf>
    <xf numFmtId="0" fontId="29" fillId="26" borderId="10" xfId="45" applyFont="1" applyFill="1" applyBorder="1" applyAlignment="1" applyProtection="1">
      <alignment vertical="top" wrapText="1"/>
      <protection locked="0"/>
    </xf>
    <xf numFmtId="0" fontId="29" fillId="26" borderId="10" xfId="45" applyFont="1" applyFill="1" applyBorder="1" applyAlignment="1" applyProtection="1">
      <alignment horizontal="left" vertical="top" wrapText="1" shrinkToFit="1"/>
      <protection locked="0"/>
    </xf>
    <xf numFmtId="14" fontId="29" fillId="26" borderId="69" xfId="45" applyNumberFormat="1" applyFont="1" applyFill="1" applyBorder="1" applyAlignment="1" applyProtection="1">
      <alignment horizontal="left" vertical="top" wrapText="1" shrinkToFit="1"/>
      <protection locked="0"/>
    </xf>
    <xf numFmtId="0" fontId="29" fillId="26" borderId="69" xfId="45" applyFont="1" applyFill="1" applyBorder="1" applyAlignment="1" applyProtection="1">
      <alignment horizontal="left" vertical="top" wrapText="1" shrinkToFit="1"/>
      <protection locked="0"/>
    </xf>
    <xf numFmtId="14" fontId="7" fillId="0" borderId="10" xfId="52" applyNumberFormat="1" applyFont="1" applyBorder="1" applyAlignment="1">
      <alignment horizontal="center" vertical="top"/>
    </xf>
    <xf numFmtId="0" fontId="29" fillId="34" borderId="81" xfId="45" applyFont="1" applyFill="1" applyBorder="1" applyAlignment="1">
      <alignment horizontal="center" vertical="center" wrapText="1"/>
    </xf>
    <xf numFmtId="14" fontId="29" fillId="26" borderId="10" xfId="45" applyNumberFormat="1" applyFont="1" applyFill="1" applyBorder="1" applyAlignment="1" applyProtection="1">
      <alignment vertical="top" wrapText="1"/>
      <protection locked="0"/>
    </xf>
    <xf numFmtId="0" fontId="29" fillId="26" borderId="70" xfId="45" applyFont="1" applyFill="1" applyBorder="1" applyAlignment="1" applyProtection="1">
      <alignment vertical="top" wrapText="1"/>
      <protection locked="0"/>
    </xf>
    <xf numFmtId="0" fontId="29" fillId="41" borderId="72" xfId="45" applyFont="1" applyFill="1" applyBorder="1" applyAlignment="1">
      <alignment horizontal="center" vertical="top" shrinkToFit="1"/>
    </xf>
    <xf numFmtId="0" fontId="29" fillId="41" borderId="47" xfId="45" applyFont="1" applyFill="1" applyBorder="1" applyAlignment="1">
      <alignment horizontal="center" vertical="top" shrinkToFit="1"/>
    </xf>
    <xf numFmtId="0" fontId="62" fillId="0" borderId="0" xfId="58" applyAlignment="1">
      <alignment horizontal="center" vertical="center"/>
    </xf>
    <xf numFmtId="0" fontId="62" fillId="0" borderId="0" xfId="58" applyAlignment="1">
      <alignment vertical="center"/>
    </xf>
    <xf numFmtId="0" fontId="2" fillId="0" borderId="0" xfId="61">
      <alignment vertical="center"/>
    </xf>
    <xf numFmtId="0" fontId="2" fillId="0" borderId="0" xfId="62" applyAlignment="1">
      <alignment horizontal="center" vertical="center"/>
    </xf>
    <xf numFmtId="0" fontId="2" fillId="0" borderId="0" xfId="62">
      <alignment vertical="center"/>
    </xf>
    <xf numFmtId="0" fontId="2" fillId="0" borderId="10" xfId="62" applyBorder="1" applyAlignment="1">
      <alignment horizontal="right" vertical="center"/>
    </xf>
    <xf numFmtId="0" fontId="2" fillId="0" borderId="10" xfId="62" applyBorder="1">
      <alignment vertical="center"/>
    </xf>
    <xf numFmtId="0" fontId="0" fillId="0" borderId="10" xfId="29" applyFont="1" applyBorder="1" applyAlignment="1" applyProtection="1">
      <alignment vertical="center"/>
    </xf>
    <xf numFmtId="0" fontId="0" fillId="0" borderId="0" xfId="62" applyFont="1">
      <alignment vertical="center"/>
    </xf>
    <xf numFmtId="0" fontId="2" fillId="0" borderId="10" xfId="62" applyBorder="1" applyAlignment="1">
      <alignment vertical="top" wrapText="1"/>
    </xf>
    <xf numFmtId="0" fontId="65" fillId="0" borderId="0" xfId="62" applyFont="1" applyAlignment="1">
      <alignment vertical="center" wrapText="1"/>
    </xf>
    <xf numFmtId="0" fontId="2" fillId="42" borderId="10" xfId="62" applyFill="1" applyBorder="1" applyAlignment="1">
      <alignment horizontal="right" vertical="center"/>
    </xf>
    <xf numFmtId="0" fontId="2" fillId="42" borderId="10" xfId="62" applyFill="1" applyBorder="1" applyAlignment="1">
      <alignment vertical="top" wrapText="1"/>
    </xf>
    <xf numFmtId="0" fontId="0" fillId="0" borderId="10" xfId="62" applyFont="1" applyFill="1" applyBorder="1" applyAlignment="1">
      <alignment horizontal="right" vertical="center"/>
    </xf>
    <xf numFmtId="49" fontId="0" fillId="43" borderId="10" xfId="62" applyNumberFormat="1" applyFont="1" applyFill="1" applyBorder="1" applyAlignment="1">
      <alignment horizontal="left" vertical="center"/>
    </xf>
    <xf numFmtId="0" fontId="65" fillId="0" borderId="0" xfId="62" applyFont="1">
      <alignment vertical="center"/>
    </xf>
    <xf numFmtId="14" fontId="0" fillId="43" borderId="10" xfId="62" applyNumberFormat="1" applyFont="1" applyFill="1" applyBorder="1" applyAlignment="1">
      <alignment horizontal="left" vertical="center"/>
    </xf>
    <xf numFmtId="0" fontId="65" fillId="0" borderId="0" xfId="0" applyFont="1" applyAlignment="1">
      <alignment vertical="center"/>
    </xf>
    <xf numFmtId="0" fontId="2" fillId="0" borderId="10" xfId="62" applyFill="1" applyBorder="1" applyAlignment="1">
      <alignment horizontal="right" vertical="center"/>
    </xf>
    <xf numFmtId="0" fontId="2" fillId="0" borderId="10" xfId="62" applyBorder="1" applyAlignment="1">
      <alignment horizontal="left" vertical="center"/>
    </xf>
    <xf numFmtId="0" fontId="2" fillId="0" borderId="10" xfId="62" applyBorder="1" applyAlignment="1">
      <alignment vertical="center" wrapText="1"/>
    </xf>
    <xf numFmtId="0" fontId="0" fillId="0" borderId="10" xfId="62" applyFont="1" applyFill="1" applyBorder="1" applyAlignment="1">
      <alignment horizontal="right" vertical="center" wrapText="1"/>
    </xf>
    <xf numFmtId="49" fontId="0" fillId="44" borderId="10" xfId="62" applyNumberFormat="1" applyFont="1" applyFill="1" applyBorder="1" applyAlignment="1">
      <alignment horizontal="left" vertical="center" wrapText="1"/>
    </xf>
    <xf numFmtId="0" fontId="2" fillId="42" borderId="10" xfId="62" applyFill="1" applyBorder="1">
      <alignment vertical="center"/>
    </xf>
    <xf numFmtId="0" fontId="29" fillId="34" borderId="81" xfId="45" applyFont="1" applyFill="1" applyBorder="1" applyAlignment="1">
      <alignment horizontal="center" vertical="center" wrapText="1"/>
    </xf>
    <xf numFmtId="0" fontId="29" fillId="34" borderId="16" xfId="45" applyFont="1" applyFill="1" applyBorder="1" applyAlignment="1">
      <alignment horizontal="center" vertical="top" shrinkToFit="1"/>
    </xf>
    <xf numFmtId="0" fontId="29" fillId="34" borderId="16" xfId="0" applyFont="1" applyFill="1" applyBorder="1" applyAlignment="1">
      <alignment horizontal="center" vertical="top" shrinkToFit="1"/>
    </xf>
    <xf numFmtId="0" fontId="29" fillId="34" borderId="16" xfId="45" applyFont="1" applyFill="1" applyBorder="1" applyAlignment="1">
      <alignment horizontal="center" vertical="top"/>
    </xf>
    <xf numFmtId="0" fontId="29" fillId="26" borderId="10" xfId="45" applyFont="1" applyFill="1" applyBorder="1" applyAlignment="1" applyProtection="1">
      <alignment vertical="top" wrapText="1"/>
      <protection locked="0"/>
    </xf>
    <xf numFmtId="0" fontId="29" fillId="24" borderId="78" xfId="45" applyFont="1" applyFill="1" applyBorder="1" applyAlignment="1">
      <alignment vertical="top" wrapText="1"/>
    </xf>
    <xf numFmtId="0" fontId="29" fillId="0" borderId="41" xfId="45" applyFont="1" applyFill="1" applyBorder="1" applyAlignment="1" applyProtection="1">
      <alignment vertical="top" wrapText="1"/>
      <protection locked="0"/>
    </xf>
    <xf numFmtId="0" fontId="29" fillId="24" borderId="79" xfId="45" applyFont="1" applyFill="1" applyBorder="1" applyAlignment="1">
      <alignment vertical="top" wrapText="1"/>
    </xf>
    <xf numFmtId="0" fontId="29" fillId="0" borderId="42" xfId="45" applyFont="1" applyFill="1" applyBorder="1" applyAlignment="1" applyProtection="1">
      <alignment vertical="top" wrapText="1"/>
      <protection locked="0"/>
    </xf>
    <xf numFmtId="0" fontId="29" fillId="0" borderId="11" xfId="45" applyFont="1" applyFill="1" applyBorder="1" applyAlignment="1" applyProtection="1">
      <alignment vertical="top" wrapText="1"/>
      <protection locked="0"/>
    </xf>
    <xf numFmtId="0" fontId="29" fillId="34" borderId="17" xfId="45" applyFont="1" applyFill="1" applyBorder="1" applyAlignment="1">
      <alignment horizontal="center" vertical="top" shrinkToFit="1"/>
    </xf>
    <xf numFmtId="0" fontId="62" fillId="45" borderId="10" xfId="58" applyFill="1" applyBorder="1" applyAlignment="1">
      <alignment vertical="center"/>
    </xf>
    <xf numFmtId="0" fontId="62" fillId="44" borderId="10" xfId="58" applyFill="1" applyBorder="1" applyAlignment="1">
      <alignment vertical="center"/>
    </xf>
    <xf numFmtId="0" fontId="62" fillId="44" borderId="10" xfId="58" applyFill="1" applyBorder="1" applyAlignment="1">
      <alignment horizontal="right" vertical="center"/>
    </xf>
    <xf numFmtId="0" fontId="5" fillId="44" borderId="10" xfId="59" applyFill="1" applyBorder="1" applyAlignment="1" applyProtection="1">
      <alignment vertical="center"/>
    </xf>
    <xf numFmtId="0" fontId="64" fillId="44" borderId="10" xfId="58" applyFont="1" applyFill="1" applyBorder="1" applyAlignment="1">
      <alignment vertical="top" wrapText="1"/>
    </xf>
    <xf numFmtId="49" fontId="62" fillId="44" borderId="10" xfId="58" applyNumberFormat="1" applyFill="1" applyBorder="1" applyAlignment="1">
      <alignment horizontal="left" vertical="center"/>
    </xf>
    <xf numFmtId="0" fontId="0" fillId="44" borderId="10" xfId="60" applyFont="1" applyFill="1" applyBorder="1" applyAlignment="1">
      <alignment horizontal="right" vertical="center"/>
    </xf>
    <xf numFmtId="0" fontId="62" fillId="44" borderId="128" xfId="58" applyFill="1" applyBorder="1" applyAlignment="1">
      <alignment horizontal="center" vertical="center"/>
    </xf>
    <xf numFmtId="0" fontId="62" fillId="44" borderId="129" xfId="58" applyFill="1" applyBorder="1" applyAlignment="1">
      <alignment vertical="center"/>
    </xf>
    <xf numFmtId="0" fontId="62" fillId="44" borderId="137" xfId="58" applyFill="1" applyBorder="1" applyAlignment="1">
      <alignment horizontal="center" vertical="center"/>
    </xf>
    <xf numFmtId="0" fontId="62" fillId="44" borderId="0" xfId="58" applyFill="1" applyBorder="1" applyAlignment="1">
      <alignment vertical="center"/>
    </xf>
    <xf numFmtId="0" fontId="65" fillId="44" borderId="0" xfId="58" applyFont="1" applyFill="1" applyBorder="1" applyAlignment="1">
      <alignment vertical="center"/>
    </xf>
    <xf numFmtId="0" fontId="62" fillId="44" borderId="130" xfId="58" applyFill="1" applyBorder="1" applyAlignment="1">
      <alignment vertical="center"/>
    </xf>
    <xf numFmtId="0" fontId="62" fillId="44" borderId="138" xfId="58" applyFill="1" applyBorder="1" applyAlignment="1">
      <alignment vertical="center"/>
    </xf>
    <xf numFmtId="49" fontId="62" fillId="44" borderId="0" xfId="58" applyNumberFormat="1" applyFill="1" applyBorder="1" applyAlignment="1">
      <alignment vertical="center"/>
    </xf>
    <xf numFmtId="0" fontId="62" fillId="44" borderId="23" xfId="58" applyFill="1" applyBorder="1" applyAlignment="1">
      <alignment horizontal="center" vertical="center"/>
    </xf>
    <xf numFmtId="0" fontId="62" fillId="44" borderId="136" xfId="58" applyFill="1" applyBorder="1" applyAlignment="1">
      <alignment vertical="center"/>
    </xf>
    <xf numFmtId="49" fontId="62" fillId="44" borderId="136" xfId="58" applyNumberFormat="1" applyFill="1" applyBorder="1" applyAlignment="1">
      <alignment vertical="center"/>
    </xf>
    <xf numFmtId="0" fontId="62" fillId="44" borderId="24" xfId="58" applyFill="1" applyBorder="1" applyAlignment="1">
      <alignment vertical="center"/>
    </xf>
    <xf numFmtId="0" fontId="62" fillId="46" borderId="10" xfId="58" applyFill="1" applyBorder="1" applyAlignment="1">
      <alignment horizontal="right" vertical="center"/>
    </xf>
    <xf numFmtId="0" fontId="62" fillId="46" borderId="10" xfId="58" applyFill="1" applyBorder="1" applyAlignment="1">
      <alignment vertical="top" wrapText="1"/>
    </xf>
    <xf numFmtId="0" fontId="62" fillId="46" borderId="10" xfId="58" applyFill="1" applyBorder="1" applyAlignment="1">
      <alignment vertical="center"/>
    </xf>
    <xf numFmtId="49" fontId="62" fillId="47" borderId="10" xfId="58" applyNumberFormat="1" applyFill="1" applyBorder="1" applyAlignment="1">
      <alignment horizontal="left" vertical="center"/>
    </xf>
    <xf numFmtId="49" fontId="62" fillId="47" borderId="10" xfId="58" applyNumberFormat="1" applyFill="1" applyBorder="1" applyAlignment="1">
      <alignment horizontal="left" vertical="center" wrapText="1"/>
    </xf>
    <xf numFmtId="49" fontId="2" fillId="47" borderId="10" xfId="29" applyNumberFormat="1" applyFont="1" applyFill="1" applyBorder="1" applyAlignment="1" applyProtection="1">
      <alignment horizontal="left" vertical="center" wrapText="1"/>
    </xf>
    <xf numFmtId="14" fontId="0" fillId="0" borderId="0" xfId="0" applyNumberFormat="1"/>
    <xf numFmtId="14" fontId="66" fillId="41" borderId="0" xfId="0" applyNumberFormat="1" applyFont="1" applyFill="1"/>
    <xf numFmtId="0" fontId="66" fillId="41" borderId="0" xfId="0" applyFont="1" applyFill="1"/>
    <xf numFmtId="0" fontId="0" fillId="0" borderId="10" xfId="0" applyBorder="1"/>
    <xf numFmtId="0" fontId="61" fillId="34" borderId="10" xfId="50" applyFont="1" applyFill="1" applyBorder="1" applyAlignment="1">
      <alignment vertical="top"/>
    </xf>
    <xf numFmtId="0" fontId="54" fillId="26" borderId="107" xfId="29" applyNumberFormat="1" applyFont="1" applyFill="1" applyBorder="1" applyAlignment="1" applyProtection="1">
      <alignment vertical="top" wrapText="1"/>
    </xf>
    <xf numFmtId="0" fontId="54" fillId="26" borderId="108" xfId="29" applyNumberFormat="1" applyFont="1" applyFill="1" applyBorder="1" applyAlignment="1" applyProtection="1">
      <alignment vertical="top" wrapText="1"/>
    </xf>
    <xf numFmtId="0" fontId="53" fillId="26" borderId="26" xfId="0" applyNumberFormat="1" applyFont="1" applyFill="1" applyBorder="1" applyAlignment="1">
      <alignment vertical="top" wrapText="1"/>
    </xf>
    <xf numFmtId="0" fontId="53" fillId="26" borderId="28" xfId="0" applyNumberFormat="1" applyFont="1" applyFill="1" applyBorder="1" applyAlignment="1">
      <alignment vertical="top" wrapText="1"/>
    </xf>
    <xf numFmtId="0" fontId="61" fillId="26" borderId="109" xfId="50" applyFont="1" applyFill="1" applyBorder="1" applyAlignment="1">
      <alignment vertical="top"/>
    </xf>
    <xf numFmtId="0" fontId="61" fillId="26" borderId="44" xfId="50" applyFont="1" applyFill="1" applyBorder="1" applyAlignment="1">
      <alignment vertical="top"/>
    </xf>
    <xf numFmtId="0" fontId="61" fillId="26" borderId="110" xfId="50" applyFont="1" applyFill="1" applyBorder="1" applyAlignment="1">
      <alignment vertical="top"/>
    </xf>
    <xf numFmtId="0" fontId="61" fillId="26" borderId="111" xfId="50" applyFont="1" applyFill="1" applyBorder="1" applyAlignment="1">
      <alignment vertical="top"/>
    </xf>
    <xf numFmtId="0" fontId="61" fillId="26" borderId="127" xfId="50" applyFont="1" applyFill="1" applyBorder="1" applyAlignment="1">
      <alignment vertical="top"/>
    </xf>
    <xf numFmtId="0" fontId="61" fillId="26" borderId="112" xfId="50" applyFont="1" applyFill="1" applyBorder="1" applyAlignment="1">
      <alignment vertical="top"/>
    </xf>
    <xf numFmtId="0" fontId="53" fillId="34" borderId="17" xfId="0" applyFont="1" applyFill="1" applyBorder="1" applyAlignment="1">
      <alignment horizontal="center" vertical="top"/>
    </xf>
    <xf numFmtId="0" fontId="53" fillId="34" borderId="20" xfId="0" applyFont="1" applyFill="1" applyBorder="1" applyAlignment="1">
      <alignment horizontal="center" vertical="top"/>
    </xf>
    <xf numFmtId="0" fontId="53" fillId="26" borderId="42" xfId="0" applyNumberFormat="1" applyFont="1" applyFill="1" applyBorder="1" applyAlignment="1">
      <alignment vertical="top" wrapText="1"/>
    </xf>
    <xf numFmtId="0" fontId="53" fillId="26" borderId="111" xfId="0" applyNumberFormat="1" applyFont="1" applyFill="1" applyBorder="1" applyAlignment="1">
      <alignment vertical="top" wrapText="1"/>
    </xf>
    <xf numFmtId="0" fontId="53" fillId="29" borderId="12" xfId="48" applyFont="1" applyFill="1" applyBorder="1" applyAlignment="1">
      <alignment vertical="top"/>
    </xf>
    <xf numFmtId="0" fontId="53" fillId="29" borderId="13" xfId="48" applyFont="1" applyFill="1" applyBorder="1" applyAlignment="1">
      <alignment vertical="top"/>
    </xf>
    <xf numFmtId="0" fontId="53" fillId="29" borderId="46" xfId="48" applyFont="1" applyFill="1" applyBorder="1" applyAlignment="1">
      <alignment vertical="top"/>
    </xf>
    <xf numFmtId="0" fontId="53" fillId="32" borderId="12" xfId="48" applyFont="1" applyFill="1" applyBorder="1" applyAlignment="1">
      <alignment vertical="top"/>
    </xf>
    <xf numFmtId="0" fontId="53" fillId="32" borderId="13" xfId="48" applyFont="1" applyFill="1" applyBorder="1" applyAlignment="1">
      <alignment vertical="top"/>
    </xf>
    <xf numFmtId="0" fontId="53" fillId="32" borderId="46" xfId="48" applyFont="1" applyFill="1" applyBorder="1" applyAlignment="1">
      <alignment vertical="top"/>
    </xf>
    <xf numFmtId="0" fontId="53" fillId="40" borderId="12" xfId="48" applyFont="1" applyFill="1" applyBorder="1" applyAlignment="1">
      <alignment vertical="top" wrapText="1"/>
    </xf>
    <xf numFmtId="0" fontId="53" fillId="40" borderId="13" xfId="0" applyFont="1" applyFill="1" applyBorder="1" applyAlignment="1">
      <alignment vertical="top" wrapText="1"/>
    </xf>
    <xf numFmtId="0" fontId="53" fillId="40" borderId="46" xfId="0" applyFont="1" applyFill="1" applyBorder="1" applyAlignment="1">
      <alignment vertical="top" wrapText="1"/>
    </xf>
    <xf numFmtId="0" fontId="51" fillId="34" borderId="75" xfId="0" applyFont="1" applyFill="1" applyBorder="1" applyAlignment="1">
      <alignment vertical="top" shrinkToFit="1"/>
    </xf>
    <xf numFmtId="0" fontId="51" fillId="34" borderId="79" xfId="0" applyFont="1" applyFill="1" applyBorder="1" applyAlignment="1">
      <alignment vertical="top" shrinkToFit="1"/>
    </xf>
    <xf numFmtId="0" fontId="51" fillId="34" borderId="42" xfId="0" applyFont="1" applyFill="1" applyBorder="1" applyAlignment="1">
      <alignment vertical="top" shrinkToFit="1"/>
    </xf>
    <xf numFmtId="0" fontId="51" fillId="34" borderId="11" xfId="0" applyFont="1" applyFill="1" applyBorder="1" applyAlignment="1">
      <alignment vertical="top" shrinkToFit="1"/>
    </xf>
    <xf numFmtId="0" fontId="52" fillId="34" borderId="42" xfId="45" applyFont="1" applyFill="1" applyBorder="1" applyAlignment="1" applyProtection="1">
      <alignment vertical="top" shrinkToFit="1"/>
      <protection locked="0"/>
    </xf>
    <xf numFmtId="0" fontId="52" fillId="34" borderId="11" xfId="45" applyFont="1" applyFill="1" applyBorder="1" applyAlignment="1" applyProtection="1">
      <alignment vertical="top" shrinkToFit="1"/>
      <protection locked="0"/>
    </xf>
    <xf numFmtId="0" fontId="46" fillId="34" borderId="42" xfId="45" applyFont="1" applyFill="1" applyBorder="1" applyAlignment="1">
      <alignment vertical="top" shrinkToFit="1"/>
    </xf>
    <xf numFmtId="0" fontId="46" fillId="34" borderId="11" xfId="45" applyFont="1" applyFill="1" applyBorder="1" applyAlignment="1">
      <alignment vertical="top" shrinkToFit="1"/>
    </xf>
    <xf numFmtId="0" fontId="51" fillId="34" borderId="113" xfId="0" applyFont="1" applyFill="1" applyBorder="1" applyAlignment="1">
      <alignment horizontal="center" vertical="top"/>
    </xf>
    <xf numFmtId="0" fontId="51" fillId="34" borderId="25" xfId="0" applyFont="1" applyFill="1" applyBorder="1" applyAlignment="1">
      <alignment horizontal="center" vertical="top"/>
    </xf>
    <xf numFmtId="0" fontId="51" fillId="34" borderId="37" xfId="0" applyFont="1" applyFill="1" applyBorder="1" applyAlignment="1">
      <alignment horizontal="center" vertical="top"/>
    </xf>
    <xf numFmtId="0" fontId="46" fillId="34" borderId="42" xfId="54" applyFont="1" applyFill="1" applyBorder="1" applyAlignment="1">
      <alignment vertical="top" shrinkToFit="1"/>
    </xf>
    <xf numFmtId="0" fontId="46" fillId="34" borderId="11" xfId="54" applyFont="1" applyFill="1" applyBorder="1" applyAlignment="1">
      <alignment vertical="top" shrinkToFit="1"/>
    </xf>
    <xf numFmtId="0" fontId="46" fillId="34" borderId="75" xfId="45" applyFont="1" applyFill="1" applyBorder="1" applyAlignment="1">
      <alignment vertical="top" shrinkToFit="1"/>
    </xf>
    <xf numFmtId="0" fontId="46" fillId="34" borderId="79" xfId="45" applyFont="1" applyFill="1" applyBorder="1" applyAlignment="1">
      <alignment vertical="top" shrinkToFit="1"/>
    </xf>
    <xf numFmtId="0" fontId="29" fillId="34" borderId="113" xfId="45" applyFont="1" applyFill="1" applyBorder="1" applyAlignment="1">
      <alignment horizontal="center" vertical="center" shrinkToFit="1"/>
    </xf>
    <xf numFmtId="0" fontId="29" fillId="34" borderId="82" xfId="45" applyFont="1" applyFill="1" applyBorder="1" applyAlignment="1">
      <alignment horizontal="center" vertical="center" shrinkToFit="1"/>
    </xf>
    <xf numFmtId="0" fontId="29" fillId="34" borderId="119" xfId="45" applyFont="1" applyFill="1" applyBorder="1" applyAlignment="1">
      <alignment horizontal="center" vertical="center" shrinkToFit="1"/>
    </xf>
    <xf numFmtId="0" fontId="29" fillId="34" borderId="113" xfId="45" applyFont="1" applyFill="1" applyBorder="1" applyAlignment="1">
      <alignment horizontal="center" vertical="center" wrapText="1" shrinkToFit="1"/>
    </xf>
    <xf numFmtId="0" fontId="29" fillId="34" borderId="82" xfId="45" applyFont="1" applyFill="1" applyBorder="1" applyAlignment="1">
      <alignment horizontal="center" vertical="center" wrapText="1" shrinkToFit="1"/>
    </xf>
    <xf numFmtId="0" fontId="29" fillId="34" borderId="119" xfId="45" applyFont="1" applyFill="1" applyBorder="1" applyAlignment="1">
      <alignment horizontal="center" vertical="center" wrapText="1" shrinkToFit="1"/>
    </xf>
    <xf numFmtId="0" fontId="29" fillId="37" borderId="65" xfId="45" applyFont="1" applyFill="1" applyBorder="1" applyAlignment="1">
      <alignment horizontal="center" vertical="center" wrapText="1"/>
    </xf>
    <xf numFmtId="0" fontId="29" fillId="37" borderId="66" xfId="45" applyFont="1" applyFill="1" applyBorder="1" applyAlignment="1">
      <alignment horizontal="center" vertical="center" wrapText="1"/>
    </xf>
    <xf numFmtId="0" fontId="29" fillId="37" borderId="135" xfId="45" applyFont="1" applyFill="1" applyBorder="1" applyAlignment="1">
      <alignment horizontal="center" vertical="center" wrapText="1"/>
    </xf>
    <xf numFmtId="0" fontId="29" fillId="34" borderId="17" xfId="45" applyFont="1" applyFill="1" applyBorder="1" applyAlignment="1">
      <alignment horizontal="center" vertical="top" shrinkToFit="1"/>
    </xf>
    <xf numFmtId="0" fontId="29" fillId="34" borderId="19" xfId="0" applyFont="1" applyFill="1" applyBorder="1" applyAlignment="1">
      <alignment horizontal="center" vertical="top" shrinkToFit="1"/>
    </xf>
    <xf numFmtId="0" fontId="29" fillId="34" borderId="18" xfId="0" applyFont="1" applyFill="1" applyBorder="1" applyAlignment="1">
      <alignment horizontal="center" vertical="top" shrinkToFit="1"/>
    </xf>
    <xf numFmtId="0" fontId="29" fillId="26" borderId="42" xfId="45" applyFont="1" applyFill="1" applyBorder="1" applyAlignment="1" applyProtection="1">
      <alignment vertical="top" wrapText="1" shrinkToFit="1"/>
      <protection locked="0"/>
    </xf>
    <xf numFmtId="0" fontId="29" fillId="26" borderId="41" xfId="45" applyFont="1" applyFill="1" applyBorder="1" applyAlignment="1" applyProtection="1">
      <alignment vertical="top" wrapText="1" shrinkToFit="1"/>
      <protection locked="0"/>
    </xf>
    <xf numFmtId="0" fontId="29" fillId="26" borderId="11" xfId="45" applyFont="1" applyFill="1" applyBorder="1" applyAlignment="1" applyProtection="1">
      <alignment vertical="top" wrapText="1" shrinkToFit="1"/>
      <protection locked="0"/>
    </xf>
    <xf numFmtId="0" fontId="29" fillId="37" borderId="39" xfId="45" applyFont="1" applyFill="1" applyBorder="1" applyAlignment="1">
      <alignment horizontal="center" vertical="center" shrinkToFit="1"/>
    </xf>
    <xf numFmtId="0" fontId="29" fillId="37" borderId="36" xfId="45" applyFont="1" applyFill="1" applyBorder="1" applyAlignment="1">
      <alignment horizontal="center" vertical="center" shrinkToFit="1"/>
    </xf>
    <xf numFmtId="0" fontId="29" fillId="37" borderId="38" xfId="45" applyFont="1" applyFill="1" applyBorder="1" applyAlignment="1">
      <alignment horizontal="center" vertical="center" shrinkToFit="1"/>
    </xf>
    <xf numFmtId="14" fontId="29" fillId="26" borderId="23" xfId="45" applyNumberFormat="1" applyFont="1" applyFill="1" applyBorder="1" applyAlignment="1" applyProtection="1">
      <alignment vertical="top" wrapText="1" shrinkToFit="1"/>
      <protection locked="0"/>
    </xf>
    <xf numFmtId="0" fontId="29" fillId="26" borderId="136" xfId="45" applyNumberFormat="1" applyFont="1" applyFill="1" applyBorder="1" applyAlignment="1" applyProtection="1">
      <alignment vertical="top" wrapText="1" shrinkToFit="1"/>
      <protection locked="0"/>
    </xf>
    <xf numFmtId="0" fontId="29" fillId="26" borderId="24" xfId="45" applyNumberFormat="1" applyFont="1" applyFill="1" applyBorder="1" applyAlignment="1" applyProtection="1">
      <alignment vertical="top" wrapText="1" shrinkToFit="1"/>
      <protection locked="0"/>
    </xf>
    <xf numFmtId="0" fontId="29" fillId="34" borderId="42" xfId="45" applyFont="1" applyFill="1" applyBorder="1" applyAlignment="1">
      <alignment horizontal="center" vertical="center" wrapText="1" shrinkToFit="1"/>
    </xf>
    <xf numFmtId="0" fontId="29" fillId="34" borderId="41" xfId="45" applyFont="1" applyFill="1" applyBorder="1" applyAlignment="1">
      <alignment horizontal="center" vertical="center" wrapText="1" shrinkToFit="1"/>
    </xf>
    <xf numFmtId="0" fontId="29" fillId="34" borderId="11" xfId="45" applyFont="1" applyFill="1" applyBorder="1" applyAlignment="1">
      <alignment horizontal="center" vertical="center" wrapText="1" shrinkToFit="1"/>
    </xf>
    <xf numFmtId="0" fontId="29" fillId="37" borderId="39" xfId="45" applyFont="1" applyFill="1" applyBorder="1" applyAlignment="1">
      <alignment horizontal="center" vertical="center" wrapText="1"/>
    </xf>
    <xf numFmtId="0" fontId="29" fillId="37" borderId="36" xfId="45" applyFont="1" applyFill="1" applyBorder="1" applyAlignment="1">
      <alignment horizontal="center" vertical="center" wrapText="1"/>
    </xf>
    <xf numFmtId="0" fontId="29" fillId="37" borderId="38" xfId="45" applyFont="1" applyFill="1" applyBorder="1" applyAlignment="1">
      <alignment horizontal="center" vertical="center" wrapText="1"/>
    </xf>
    <xf numFmtId="0" fontId="29" fillId="34" borderId="81" xfId="45" applyFont="1" applyFill="1" applyBorder="1" applyAlignment="1">
      <alignment horizontal="center" vertical="center" shrinkToFit="1"/>
    </xf>
    <xf numFmtId="0" fontId="29" fillId="34" borderId="81" xfId="45" applyFont="1" applyFill="1" applyBorder="1" applyAlignment="1">
      <alignment horizontal="center" vertical="center" wrapText="1"/>
    </xf>
    <xf numFmtId="0" fontId="29" fillId="34" borderId="119" xfId="45" applyFont="1" applyFill="1" applyBorder="1" applyAlignment="1">
      <alignment horizontal="center" vertical="center" wrapText="1"/>
    </xf>
    <xf numFmtId="0" fontId="29" fillId="34" borderId="128" xfId="45" applyFont="1" applyFill="1" applyBorder="1" applyAlignment="1">
      <alignment horizontal="center" vertical="center" shrinkToFit="1"/>
    </xf>
    <xf numFmtId="0" fontId="29" fillId="34" borderId="129" xfId="45" applyFont="1" applyFill="1" applyBorder="1" applyAlignment="1">
      <alignment horizontal="center" vertical="center" shrinkToFit="1"/>
    </xf>
    <xf numFmtId="0" fontId="29" fillId="34" borderId="130" xfId="45" applyFont="1" applyFill="1" applyBorder="1" applyAlignment="1">
      <alignment horizontal="center" vertical="center" shrinkToFit="1"/>
    </xf>
    <xf numFmtId="0" fontId="29" fillId="34" borderId="132" xfId="45" applyFont="1" applyFill="1" applyBorder="1" applyAlignment="1">
      <alignment horizontal="center" vertical="center" shrinkToFit="1"/>
    </xf>
    <xf numFmtId="0" fontId="29" fillId="34" borderId="133" xfId="45" applyFont="1" applyFill="1" applyBorder="1" applyAlignment="1">
      <alignment horizontal="center" vertical="center" shrinkToFit="1"/>
    </xf>
    <xf numFmtId="0" fontId="29" fillId="34" borderId="134" xfId="45" applyFont="1" applyFill="1" applyBorder="1" applyAlignment="1">
      <alignment horizontal="center" vertical="center" shrinkToFit="1"/>
    </xf>
    <xf numFmtId="0" fontId="29" fillId="0" borderId="116" xfId="45" applyFont="1" applyFill="1" applyBorder="1" applyAlignment="1">
      <alignment horizontal="left" vertical="top" wrapText="1" shrinkToFit="1"/>
    </xf>
    <xf numFmtId="0" fontId="29" fillId="0" borderId="29" xfId="45" applyFont="1" applyFill="1" applyBorder="1" applyAlignment="1">
      <alignment horizontal="left" vertical="top" wrapText="1" shrinkToFit="1"/>
    </xf>
    <xf numFmtId="0" fontId="29" fillId="0" borderId="26" xfId="0" applyFont="1" applyFill="1" applyBorder="1" applyAlignment="1" applyProtection="1">
      <alignment horizontal="left" vertical="top" wrapText="1" shrinkToFit="1"/>
      <protection locked="0"/>
    </xf>
    <xf numFmtId="0" fontId="29" fillId="0" borderId="27" xfId="0" applyFont="1" applyFill="1" applyBorder="1" applyAlignment="1" applyProtection="1">
      <alignment horizontal="left" vertical="top" wrapText="1" shrinkToFit="1"/>
      <protection locked="0"/>
    </xf>
    <xf numFmtId="0" fontId="29" fillId="0" borderId="28" xfId="0" applyFont="1" applyFill="1" applyBorder="1" applyAlignment="1" applyProtection="1">
      <alignment horizontal="left" vertical="top" wrapText="1" shrinkToFit="1"/>
      <protection locked="0"/>
    </xf>
    <xf numFmtId="0" fontId="29" fillId="37" borderId="17" xfId="0" applyFont="1" applyFill="1" applyBorder="1" applyAlignment="1" applyProtection="1">
      <alignment horizontal="center" vertical="top" wrapText="1" shrinkToFit="1"/>
      <protection locked="0"/>
    </xf>
    <xf numFmtId="0" fontId="29" fillId="37" borderId="19" xfId="0" applyFont="1" applyFill="1" applyBorder="1" applyAlignment="1" applyProtection="1">
      <alignment horizontal="center" vertical="top" wrapText="1" shrinkToFit="1"/>
      <protection locked="0"/>
    </xf>
    <xf numFmtId="0" fontId="29" fillId="37" borderId="20" xfId="0" applyFont="1" applyFill="1" applyBorder="1" applyAlignment="1" applyProtection="1">
      <alignment horizontal="center" vertical="top" wrapText="1" shrinkToFit="1"/>
      <protection locked="0"/>
    </xf>
    <xf numFmtId="0" fontId="29" fillId="26" borderId="42" xfId="45" applyNumberFormat="1" applyFont="1" applyFill="1" applyBorder="1" applyAlignment="1" applyProtection="1">
      <alignment vertical="top" wrapText="1"/>
      <protection locked="0"/>
    </xf>
    <xf numFmtId="0" fontId="29" fillId="0" borderId="41" xfId="0" applyNumberFormat="1" applyFont="1" applyBorder="1" applyAlignment="1">
      <alignment vertical="top" wrapText="1"/>
    </xf>
    <xf numFmtId="0" fontId="29" fillId="0" borderId="11" xfId="0" applyNumberFormat="1" applyFont="1" applyBorder="1" applyAlignment="1">
      <alignment vertical="top" wrapText="1"/>
    </xf>
    <xf numFmtId="0" fontId="31" fillId="26" borderId="42" xfId="45" applyFont="1" applyFill="1" applyBorder="1" applyAlignment="1" applyProtection="1">
      <alignment vertical="top" shrinkToFit="1"/>
      <protection locked="0"/>
    </xf>
    <xf numFmtId="0" fontId="31" fillId="26" borderId="41" xfId="45" applyFont="1" applyFill="1" applyBorder="1" applyAlignment="1" applyProtection="1">
      <alignment vertical="top" shrinkToFit="1"/>
      <protection locked="0"/>
    </xf>
    <xf numFmtId="0" fontId="31" fillId="26" borderId="11" xfId="45" applyFont="1" applyFill="1" applyBorder="1" applyAlignment="1" applyProtection="1">
      <alignment vertical="top" shrinkToFit="1"/>
      <protection locked="0"/>
    </xf>
    <xf numFmtId="0" fontId="29" fillId="26" borderId="107" xfId="45" applyNumberFormat="1" applyFont="1" applyFill="1" applyBorder="1" applyAlignment="1" applyProtection="1">
      <alignment vertical="top" wrapText="1"/>
      <protection locked="0"/>
    </xf>
    <xf numFmtId="0" fontId="29" fillId="0" borderId="117" xfId="0" applyNumberFormat="1" applyFont="1" applyBorder="1" applyAlignment="1">
      <alignment vertical="top" wrapText="1"/>
    </xf>
    <xf numFmtId="0" fontId="29" fillId="0" borderId="118" xfId="0" applyNumberFormat="1" applyFont="1" applyBorder="1" applyAlignment="1">
      <alignment vertical="top" wrapText="1"/>
    </xf>
    <xf numFmtId="0" fontId="31" fillId="26" borderId="107" xfId="29" applyFont="1" applyFill="1" applyBorder="1" applyAlignment="1" applyProtection="1">
      <alignment vertical="top" shrinkToFit="1"/>
      <protection locked="0"/>
    </xf>
    <xf numFmtId="0" fontId="31" fillId="26" borderId="117" xfId="45" applyFont="1" applyFill="1" applyBorder="1" applyAlignment="1" applyProtection="1">
      <alignment vertical="top" shrinkToFit="1"/>
      <protection locked="0"/>
    </xf>
    <xf numFmtId="0" fontId="31" fillId="26" borderId="118" xfId="45" applyFont="1" applyFill="1" applyBorder="1" applyAlignment="1" applyProtection="1">
      <alignment vertical="top" shrinkToFit="1"/>
      <protection locked="0"/>
    </xf>
    <xf numFmtId="0" fontId="29" fillId="24" borderId="75" xfId="45" applyFont="1" applyFill="1" applyBorder="1" applyAlignment="1">
      <alignment vertical="top" wrapText="1"/>
    </xf>
    <xf numFmtId="0" fontId="29" fillId="24" borderId="78" xfId="45" applyFont="1" applyFill="1" applyBorder="1" applyAlignment="1">
      <alignment vertical="top" wrapText="1"/>
    </xf>
    <xf numFmtId="0" fontId="29" fillId="24" borderId="79" xfId="45" applyFont="1" applyFill="1" applyBorder="1" applyAlignment="1">
      <alignment vertical="top" wrapText="1"/>
    </xf>
    <xf numFmtId="0" fontId="29" fillId="28" borderId="42" xfId="45" applyFont="1" applyFill="1" applyBorder="1" applyAlignment="1">
      <alignment horizontal="center" vertical="center" shrinkToFit="1"/>
    </xf>
    <xf numFmtId="0" fontId="29" fillId="28" borderId="41" xfId="45" applyFont="1" applyFill="1" applyBorder="1" applyAlignment="1">
      <alignment horizontal="center" vertical="center" shrinkToFit="1"/>
    </xf>
    <xf numFmtId="0" fontId="29" fillId="28" borderId="11" xfId="45" applyFont="1" applyFill="1" applyBorder="1" applyAlignment="1">
      <alignment horizontal="center" vertical="center" shrinkToFit="1"/>
    </xf>
    <xf numFmtId="0" fontId="29" fillId="0" borderId="42" xfId="45" applyFont="1" applyFill="1" applyBorder="1" applyAlignment="1" applyProtection="1">
      <alignment vertical="top" wrapText="1"/>
      <protection locked="0"/>
    </xf>
    <xf numFmtId="0" fontId="29" fillId="0" borderId="41" xfId="45" applyFont="1" applyFill="1" applyBorder="1" applyAlignment="1" applyProtection="1">
      <alignment vertical="top" wrapText="1"/>
      <protection locked="0"/>
    </xf>
    <xf numFmtId="0" fontId="29" fillId="0" borderId="11" xfId="45" applyFont="1" applyFill="1" applyBorder="1" applyAlignment="1" applyProtection="1">
      <alignment vertical="top" wrapText="1"/>
      <protection locked="0"/>
    </xf>
    <xf numFmtId="0" fontId="29" fillId="24" borderId="112" xfId="45" applyFont="1" applyFill="1" applyBorder="1" applyAlignment="1">
      <alignment vertical="top" wrapText="1"/>
    </xf>
    <xf numFmtId="0" fontId="29" fillId="28" borderId="111" xfId="45" applyFont="1" applyFill="1" applyBorder="1" applyAlignment="1">
      <alignment horizontal="center" vertical="center" shrinkToFit="1"/>
    </xf>
    <xf numFmtId="0" fontId="29" fillId="0" borderId="111" xfId="45" applyFont="1" applyFill="1" applyBorder="1" applyAlignment="1" applyProtection="1">
      <alignment vertical="top" wrapText="1"/>
      <protection locked="0"/>
    </xf>
    <xf numFmtId="0" fontId="29" fillId="28" borderId="45" xfId="45" applyFont="1" applyFill="1" applyBorder="1" applyAlignment="1">
      <alignment horizontal="center" vertical="center" shrinkToFit="1"/>
    </xf>
    <xf numFmtId="0" fontId="29" fillId="28" borderId="115" xfId="0" applyFont="1" applyFill="1" applyBorder="1" applyAlignment="1">
      <alignment horizontal="center" vertical="center" shrinkToFit="1"/>
    </xf>
    <xf numFmtId="0" fontId="29" fillId="28" borderId="116" xfId="0" applyFont="1" applyFill="1" applyBorder="1" applyAlignment="1">
      <alignment horizontal="center" vertical="center" shrinkToFit="1"/>
    </xf>
    <xf numFmtId="0" fontId="29" fillId="0" borderId="10" xfId="45" applyFont="1" applyFill="1" applyBorder="1" applyAlignment="1">
      <alignment vertical="top" shrinkToFit="1"/>
    </xf>
    <xf numFmtId="0" fontId="29" fillId="0" borderId="10" xfId="0" applyFont="1" applyFill="1" applyBorder="1" applyAlignment="1">
      <alignment vertical="top" shrinkToFit="1"/>
    </xf>
    <xf numFmtId="0" fontId="29" fillId="0" borderId="69" xfId="45" applyFont="1" applyFill="1" applyBorder="1" applyAlignment="1">
      <alignment vertical="top" shrinkToFit="1"/>
    </xf>
    <xf numFmtId="0" fontId="29" fillId="0" borderId="69" xfId="0" applyFont="1" applyFill="1" applyBorder="1" applyAlignment="1">
      <alignment vertical="top" shrinkToFit="1"/>
    </xf>
    <xf numFmtId="0" fontId="29" fillId="34" borderId="16" xfId="45" applyFont="1" applyFill="1" applyBorder="1" applyAlignment="1">
      <alignment horizontal="center" vertical="top" shrinkToFit="1"/>
    </xf>
    <xf numFmtId="0" fontId="29" fillId="34" borderId="16" xfId="0" applyFont="1" applyFill="1" applyBorder="1" applyAlignment="1">
      <alignment horizontal="center" vertical="top" shrinkToFit="1"/>
    </xf>
    <xf numFmtId="0" fontId="29" fillId="26" borderId="45" xfId="45" applyFont="1" applyFill="1" applyBorder="1" applyAlignment="1">
      <alignment horizontal="center" vertical="center" wrapText="1"/>
    </xf>
    <xf numFmtId="0" fontId="29" fillId="0" borderId="115" xfId="0" applyFont="1" applyBorder="1" applyAlignment="1">
      <alignment horizontal="center" vertical="center"/>
    </xf>
    <xf numFmtId="0" fontId="29" fillId="0" borderId="116" xfId="0" applyFont="1" applyBorder="1" applyAlignment="1">
      <alignment horizontal="center" vertical="center"/>
    </xf>
    <xf numFmtId="0" fontId="29" fillId="28" borderId="69" xfId="45" applyFont="1" applyFill="1" applyBorder="1" applyAlignment="1" applyProtection="1">
      <alignment horizontal="left" vertical="top"/>
      <protection locked="0"/>
    </xf>
    <xf numFmtId="0" fontId="29" fillId="28" borderId="69" xfId="0" applyFont="1" applyFill="1" applyBorder="1" applyAlignment="1">
      <alignment horizontal="left" vertical="top"/>
    </xf>
    <xf numFmtId="0" fontId="29" fillId="34" borderId="16" xfId="45" applyFont="1" applyFill="1" applyBorder="1" applyAlignment="1">
      <alignment horizontal="center" vertical="top"/>
    </xf>
    <xf numFmtId="0" fontId="29" fillId="34" borderId="16" xfId="0" applyFont="1" applyFill="1" applyBorder="1" applyAlignment="1">
      <alignment horizontal="center" vertical="top"/>
    </xf>
    <xf numFmtId="0" fontId="29" fillId="26" borderId="69" xfId="45" applyFont="1" applyFill="1" applyBorder="1" applyAlignment="1" applyProtection="1">
      <alignment vertical="top" wrapText="1"/>
      <protection locked="0"/>
    </xf>
    <xf numFmtId="0" fontId="29" fillId="0" borderId="69" xfId="0" applyFont="1" applyBorder="1" applyAlignment="1">
      <alignment vertical="top" wrapText="1"/>
    </xf>
    <xf numFmtId="0" fontId="29" fillId="0" borderId="48" xfId="0" applyFont="1" applyBorder="1" applyAlignment="1">
      <alignment vertical="top" wrapText="1"/>
    </xf>
    <xf numFmtId="0" fontId="29" fillId="26" borderId="10" xfId="45" applyFont="1" applyFill="1" applyBorder="1" applyAlignment="1" applyProtection="1">
      <alignment vertical="top" wrapText="1"/>
      <protection locked="0"/>
    </xf>
    <xf numFmtId="0" fontId="29" fillId="0" borderId="10" xfId="0" applyFont="1" applyBorder="1" applyAlignment="1">
      <alignment vertical="top" wrapText="1"/>
    </xf>
    <xf numFmtId="0" fontId="29" fillId="0" borderId="32" xfId="0" applyFont="1" applyBorder="1" applyAlignment="1">
      <alignment vertical="top" wrapText="1"/>
    </xf>
    <xf numFmtId="0" fontId="29" fillId="34" borderId="17" xfId="45" applyFont="1" applyFill="1" applyBorder="1" applyAlignment="1">
      <alignment horizontal="center" vertical="top"/>
    </xf>
    <xf numFmtId="0" fontId="29" fillId="34" borderId="19" xfId="0" applyFont="1" applyFill="1" applyBorder="1" applyAlignment="1">
      <alignment horizontal="center" vertical="top"/>
    </xf>
    <xf numFmtId="0" fontId="29" fillId="34" borderId="20" xfId="0" applyFont="1" applyFill="1" applyBorder="1" applyAlignment="1">
      <alignment horizontal="center" vertical="top"/>
    </xf>
    <xf numFmtId="0" fontId="29" fillId="0" borderId="10" xfId="45" applyFont="1" applyFill="1" applyBorder="1" applyAlignment="1" applyProtection="1">
      <alignment horizontal="left" vertical="top"/>
      <protection locked="0"/>
    </xf>
    <xf numFmtId="0" fontId="29" fillId="0" borderId="10" xfId="0" applyFont="1" applyBorder="1" applyAlignment="1">
      <alignment horizontal="left" vertical="top"/>
    </xf>
    <xf numFmtId="0" fontId="29" fillId="34" borderId="15" xfId="45" applyFont="1" applyFill="1" applyBorder="1" applyAlignment="1">
      <alignment horizontal="center" vertical="top" wrapText="1" shrinkToFit="1"/>
    </xf>
    <xf numFmtId="0" fontId="29" fillId="34" borderId="19" xfId="45" applyFont="1" applyFill="1" applyBorder="1" applyAlignment="1">
      <alignment horizontal="center" vertical="top" wrapText="1" shrinkToFit="1"/>
    </xf>
    <xf numFmtId="0" fontId="29" fillId="0" borderId="72" xfId="45" applyFont="1" applyFill="1" applyBorder="1" applyAlignment="1">
      <alignment vertical="top" shrinkToFit="1"/>
    </xf>
    <xf numFmtId="0" fontId="29" fillId="26" borderId="72" xfId="45" applyFont="1" applyFill="1" applyBorder="1" applyAlignment="1" applyProtection="1">
      <alignment vertical="top" wrapText="1"/>
      <protection locked="0"/>
    </xf>
    <xf numFmtId="0" fontId="29" fillId="0" borderId="72" xfId="0" applyFont="1" applyBorder="1" applyAlignment="1">
      <alignment vertical="top" wrapText="1"/>
    </xf>
    <xf numFmtId="0" fontId="29" fillId="0" borderId="47" xfId="0" applyFont="1" applyBorder="1" applyAlignment="1">
      <alignment vertical="top" wrapText="1"/>
    </xf>
    <xf numFmtId="180" fontId="29" fillId="26" borderId="42" xfId="45" applyNumberFormat="1" applyFont="1" applyFill="1" applyBorder="1" applyAlignment="1" applyProtection="1">
      <alignment vertical="top" wrapText="1" shrinkToFit="1"/>
      <protection locked="0"/>
    </xf>
    <xf numFmtId="180" fontId="29" fillId="26" borderId="41" xfId="45" applyNumberFormat="1" applyFont="1" applyFill="1" applyBorder="1" applyAlignment="1" applyProtection="1">
      <alignment vertical="top" wrapText="1" shrinkToFit="1"/>
      <protection locked="0"/>
    </xf>
    <xf numFmtId="180" fontId="29" fillId="26" borderId="11" xfId="45" applyNumberFormat="1" applyFont="1" applyFill="1" applyBorder="1" applyAlignment="1" applyProtection="1">
      <alignment vertical="top" wrapText="1" shrinkToFit="1"/>
      <protection locked="0"/>
    </xf>
    <xf numFmtId="0" fontId="29" fillId="34" borderId="42" xfId="45" applyFont="1" applyFill="1" applyBorder="1" applyAlignment="1">
      <alignment horizontal="center" vertical="center" wrapText="1"/>
    </xf>
    <xf numFmtId="0" fontId="29" fillId="34" borderId="41" xfId="45" applyFont="1" applyFill="1" applyBorder="1" applyAlignment="1">
      <alignment horizontal="center" vertical="center" wrapText="1"/>
    </xf>
    <xf numFmtId="0" fontId="29" fillId="34" borderId="11" xfId="45" applyFont="1" applyFill="1" applyBorder="1" applyAlignment="1">
      <alignment horizontal="center" vertical="center" wrapText="1"/>
    </xf>
    <xf numFmtId="180" fontId="29" fillId="26" borderId="23" xfId="45" applyNumberFormat="1" applyFont="1" applyFill="1" applyBorder="1" applyAlignment="1" applyProtection="1">
      <alignment vertical="top" wrapText="1" shrinkToFit="1"/>
      <protection locked="0"/>
    </xf>
    <xf numFmtId="180" fontId="29" fillId="26" borderId="136" xfId="45" applyNumberFormat="1" applyFont="1" applyFill="1" applyBorder="1" applyAlignment="1" applyProtection="1">
      <alignment vertical="top" wrapText="1" shrinkToFit="1"/>
      <protection locked="0"/>
    </xf>
    <xf numFmtId="180" fontId="29" fillId="26" borderId="24" xfId="45" applyNumberFormat="1" applyFont="1" applyFill="1" applyBorder="1" applyAlignment="1" applyProtection="1">
      <alignment vertical="top" wrapText="1" shrinkToFit="1"/>
      <protection locked="0"/>
    </xf>
    <xf numFmtId="14" fontId="29" fillId="26" borderId="42" xfId="45" applyNumberFormat="1" applyFont="1" applyFill="1" applyBorder="1" applyAlignment="1" applyProtection="1">
      <alignment vertical="top" wrapText="1" shrinkToFit="1"/>
      <protection locked="0"/>
    </xf>
    <xf numFmtId="14" fontId="29" fillId="26" borderId="41" xfId="45" applyNumberFormat="1" applyFont="1" applyFill="1" applyBorder="1" applyAlignment="1" applyProtection="1">
      <alignment vertical="top" wrapText="1" shrinkToFit="1"/>
      <protection locked="0"/>
    </xf>
    <xf numFmtId="14" fontId="29" fillId="26" borderId="11" xfId="45" applyNumberFormat="1" applyFont="1" applyFill="1" applyBorder="1" applyAlignment="1" applyProtection="1">
      <alignment vertical="top" wrapText="1" shrinkToFit="1"/>
      <protection locked="0"/>
    </xf>
    <xf numFmtId="0" fontId="29" fillId="34" borderId="128" xfId="45" applyFont="1" applyFill="1" applyBorder="1" applyAlignment="1">
      <alignment horizontal="center" vertical="center" wrapText="1"/>
    </xf>
    <xf numFmtId="0" fontId="29" fillId="34" borderId="129" xfId="45" applyFont="1" applyFill="1" applyBorder="1" applyAlignment="1">
      <alignment horizontal="center" vertical="center" wrapText="1"/>
    </xf>
    <xf numFmtId="0" fontId="29" fillId="34" borderId="130" xfId="45" applyFont="1" applyFill="1" applyBorder="1" applyAlignment="1">
      <alignment horizontal="center" vertical="center" wrapText="1"/>
    </xf>
    <xf numFmtId="0" fontId="29" fillId="34" borderId="132" xfId="45" applyFont="1" applyFill="1" applyBorder="1" applyAlignment="1">
      <alignment horizontal="center" vertical="center" wrapText="1"/>
    </xf>
    <xf numFmtId="0" fontId="29" fillId="34" borderId="133" xfId="45" applyFont="1" applyFill="1" applyBorder="1" applyAlignment="1">
      <alignment horizontal="center" vertical="center" wrapText="1"/>
    </xf>
    <xf numFmtId="0" fontId="29" fillId="34" borderId="134" xfId="45" applyFont="1" applyFill="1" applyBorder="1" applyAlignment="1">
      <alignment horizontal="center" vertical="center" wrapText="1"/>
    </xf>
    <xf numFmtId="0" fontId="29" fillId="34" borderId="74" xfId="45" applyFont="1" applyFill="1" applyBorder="1" applyAlignment="1">
      <alignment horizontal="center" vertical="center" shrinkToFit="1"/>
    </xf>
    <xf numFmtId="0" fontId="29" fillId="34" borderId="22" xfId="45" applyFont="1" applyFill="1" applyBorder="1" applyAlignment="1">
      <alignment horizontal="center" vertical="center" shrinkToFit="1"/>
    </xf>
    <xf numFmtId="0" fontId="29" fillId="34" borderId="131" xfId="45" applyFont="1" applyFill="1" applyBorder="1" applyAlignment="1">
      <alignment horizontal="center" vertical="center" shrinkToFit="1"/>
    </xf>
    <xf numFmtId="49" fontId="7" fillId="0" borderId="10" xfId="45" applyNumberFormat="1" applyFont="1" applyBorder="1" applyAlignment="1">
      <alignment horizontal="center" vertical="top"/>
    </xf>
    <xf numFmtId="14" fontId="7" fillId="0" borderId="10" xfId="45" applyNumberFormat="1" applyFont="1" applyBorder="1" applyAlignment="1">
      <alignment horizontal="center" vertical="top"/>
    </xf>
    <xf numFmtId="0" fontId="7" fillId="0" borderId="10" xfId="45" applyFont="1" applyBorder="1" applyAlignment="1">
      <alignment vertical="top" wrapText="1"/>
    </xf>
    <xf numFmtId="0" fontId="7" fillId="0" borderId="10" xfId="0" applyFont="1" applyBorder="1" applyAlignment="1">
      <alignment vertical="top" wrapText="1"/>
    </xf>
    <xf numFmtId="0" fontId="7" fillId="0" borderId="81" xfId="0" applyFont="1" applyBorder="1" applyAlignment="1">
      <alignment vertical="top" wrapText="1"/>
    </xf>
    <xf numFmtId="0" fontId="7" fillId="0" borderId="69" xfId="0" applyFont="1" applyBorder="1" applyAlignment="1">
      <alignment vertical="top" wrapText="1"/>
    </xf>
    <xf numFmtId="0" fontId="7" fillId="0" borderId="10" xfId="0" applyFont="1" applyBorder="1" applyAlignment="1">
      <alignment horizontal="center" vertical="top"/>
    </xf>
    <xf numFmtId="0" fontId="7" fillId="0" borderId="10" xfId="45" applyFont="1" applyBorder="1" applyAlignment="1">
      <alignment horizontal="center" vertical="top"/>
    </xf>
  </cellXfs>
  <cellStyles count="63">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2" xfId="28"/>
    <cellStyle name="ハイパーリンク" xfId="29" builtinId="8"/>
    <cellStyle name="ハイパーリンク 2" xfId="59"/>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入力" xfId="42" builtinId="20" customBuiltin="1"/>
    <cellStyle name="標準" xfId="0" builtinId="0"/>
    <cellStyle name="標準 2" xfId="62"/>
    <cellStyle name="標準 2 2" xfId="60"/>
    <cellStyle name="標準 4" xfId="58"/>
    <cellStyle name="標準 6" xfId="61"/>
    <cellStyle name="標準_6609(Step3)ＤＲ報告書" xfId="43"/>
    <cellStyle name="標準_DBテスト" xfId="44"/>
    <cellStyle name="標準_SCM計画書テンプレート" xfId="57"/>
    <cellStyle name="標準_ピアレビュー管理票Ver.0.90" xfId="45"/>
    <cellStyle name="標準_ピアレビュー管理票Ver.0.90_P6837ピアレビュー管理票_DNCP改善" xfId="46"/>
    <cellStyle name="標準_ピアレビュー管理票Ver.1.40(4室）" xfId="47"/>
    <cellStyle name="標準_プロセス定義書（エンジニアリング）v0.72" xfId="48"/>
    <cellStyle name="標準_プロセス定義書（エンジニアリング）v0.72_6876（Step1-1）ピアレビュー管理票ver1.10β" xfId="49"/>
    <cellStyle name="標準_外注計画書テンプレート" xfId="50"/>
    <cellStyle name="標準_妥当性確認議事録テンプレート" xfId="51"/>
    <cellStyle name="標準_帳票1" xfId="52"/>
    <cellStyle name="標準_帳票テンプレート" xfId="53"/>
    <cellStyle name="標準_不具合管理票1.03（仕様）テンプレート" xfId="54"/>
    <cellStyle name="未定義" xfId="55"/>
    <cellStyle name="良い" xfId="56" builtinId="26" customBuiltin="1"/>
  </cellStyles>
  <dxfs count="1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rgb="FFFFFF00"/>
        </patternFill>
      </fill>
    </dxf>
    <dxf>
      <fill>
        <patternFill>
          <bgColor rgb="FFC0C0C0"/>
        </patternFill>
      </fill>
    </dxf>
    <dxf>
      <fill>
        <patternFill>
          <bgColor rgb="FFFF0000"/>
        </patternFill>
      </fill>
    </dxf>
    <dxf>
      <fill>
        <patternFill>
          <bgColor indexed="22"/>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indexed="10"/>
        </patternFill>
      </fill>
    </dxf>
    <dxf>
      <fill>
        <patternFill>
          <bgColor indexed="22"/>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indexed="10"/>
        </patternFill>
      </fill>
    </dxf>
    <dxf>
      <fill>
        <patternFill>
          <bgColor indexed="22"/>
        </patternFill>
      </fill>
    </dxf>
    <dxf>
      <fill>
        <patternFill>
          <bgColor indexed="10"/>
        </patternFill>
      </fill>
    </dxf>
    <dxf>
      <font>
        <b/>
        <i val="0"/>
        <condense val="0"/>
        <extend val="0"/>
        <color indexed="10"/>
      </font>
    </dxf>
    <dxf>
      <fill>
        <patternFill>
          <bgColor indexed="22"/>
        </patternFill>
      </fill>
    </dxf>
    <dxf>
      <font>
        <condense val="0"/>
        <extend val="0"/>
        <color indexed="9"/>
      </font>
      <fill>
        <patternFill patternType="lightUp">
          <bgColor indexed="9"/>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rgb="FFFFFF00"/>
        </patternFill>
      </fill>
    </dxf>
    <dxf>
      <fill>
        <patternFill>
          <bgColor rgb="FFC0C0C0"/>
        </patternFill>
      </fill>
    </dxf>
    <dxf>
      <fill>
        <patternFill>
          <bgColor rgb="FFFF0000"/>
        </patternFill>
      </fill>
    </dxf>
    <dxf>
      <fill>
        <patternFill>
          <bgColor indexed="22"/>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indexed="10"/>
        </patternFill>
      </fill>
    </dxf>
    <dxf>
      <fill>
        <patternFill>
          <bgColor indexed="22"/>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indexed="10"/>
        </patternFill>
      </fill>
    </dxf>
    <dxf>
      <fill>
        <patternFill>
          <bgColor indexed="22"/>
        </patternFill>
      </fill>
    </dxf>
    <dxf>
      <fill>
        <patternFill>
          <bgColor indexed="10"/>
        </patternFill>
      </fill>
    </dxf>
    <dxf>
      <font>
        <b/>
        <i val="0"/>
        <condense val="0"/>
        <extend val="0"/>
        <color indexed="10"/>
      </font>
    </dxf>
    <dxf>
      <fill>
        <patternFill>
          <bgColor indexed="22"/>
        </patternFill>
      </fill>
    </dxf>
    <dxf>
      <font>
        <condense val="0"/>
        <extend val="0"/>
        <color indexed="9"/>
      </font>
      <fill>
        <patternFill patternType="lightUp">
          <bgColor indexed="9"/>
        </patternFill>
      </fill>
    </dxf>
    <dxf>
      <fill>
        <patternFill>
          <bgColor indexed="10"/>
        </patternFill>
      </fill>
    </dxf>
    <dxf>
      <fill>
        <patternFill>
          <bgColor indexed="10"/>
        </patternFill>
      </fill>
    </dxf>
    <dxf>
      <fill>
        <patternFill>
          <bgColor indexed="10"/>
        </patternFill>
      </fill>
    </dxf>
    <dxf>
      <fill>
        <patternFill>
          <bgColor indexed="22"/>
        </patternFill>
      </fill>
    </dxf>
    <dxf>
      <fill>
        <patternFill>
          <bgColor theme="0" tint="-0.499984740745262"/>
        </patternFill>
      </fill>
    </dxf>
    <dxf>
      <font>
        <b/>
        <i val="0"/>
        <color rgb="FFFF0000"/>
      </font>
    </dxf>
    <dxf>
      <fill>
        <patternFill>
          <bgColor indexed="10"/>
        </patternFill>
      </fill>
    </dxf>
    <dxf>
      <fill>
        <patternFill>
          <bgColor indexed="10"/>
        </patternFill>
      </fill>
    </dxf>
    <dxf>
      <fill>
        <patternFill>
          <bgColor indexed="55"/>
        </patternFill>
      </fill>
    </dxf>
    <dxf>
      <fill>
        <patternFill>
          <bgColor indexed="10"/>
        </patternFill>
      </fill>
    </dxf>
    <dxf>
      <fill>
        <patternFill>
          <bgColor indexed="55"/>
        </patternFill>
      </fill>
    </dxf>
  </dxfs>
  <tableStyles count="0" defaultTableStyle="TableStyleMedium2" defaultPivotStyle="PivotStyleLight16"/>
  <colors>
    <mruColors>
      <color rgb="FFCCFFCC"/>
      <color rgb="FFFFFF99"/>
      <color rgb="FFC0C0C0"/>
      <color rgb="FFFFCCFF"/>
      <color rgb="FFFFFF00"/>
      <color rgb="FFFFFF66"/>
      <color rgb="FFFF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要求定義</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3"/>
          <c:order val="0"/>
          <c:tx>
            <c:strRef>
              <c:f>ドキュメント指摘計測!$E$1</c:f>
              <c:strCache>
                <c:ptCount val="1"/>
                <c:pt idx="0">
                  <c:v>ドキュメント品質指摘/成果</c:v>
                </c:pt>
              </c:strCache>
            </c:strRef>
          </c:tx>
          <c:spPr>
            <a:solidFill>
              <a:schemeClr val="accent4"/>
            </a:solidFill>
            <a:ln>
              <a:noFill/>
            </a:ln>
            <a:effectLst/>
          </c:spPr>
          <c:invertIfNegative val="0"/>
          <c:cat>
            <c:numRef>
              <c:f>ドキュメント指摘計測!$A$2:$A$14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ドキュメント指摘計測!$E$2:$E$14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1DD-4880-B32C-5CE9C6B1A5C7}"/>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要求分析</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ドキュメント指摘計測!$K$1</c:f>
              <c:strCache>
                <c:ptCount val="1"/>
                <c:pt idx="0">
                  <c:v>ドキュメント品質指摘/成果</c:v>
                </c:pt>
              </c:strCache>
            </c:strRef>
          </c:tx>
          <c:spPr>
            <a:solidFill>
              <a:schemeClr val="accent1"/>
            </a:solidFill>
            <a:ln>
              <a:noFill/>
            </a:ln>
            <a:effectLst/>
          </c:spPr>
          <c:invertIfNegative val="0"/>
          <c:cat>
            <c:numRef>
              <c:f>ドキュメント指摘計測!$G$2:$G$14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ドキュメント指摘計測!$K$2:$K$14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4600-410F-8C9F-91096FA45C59}"/>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基本設計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ドキュメント指摘計測!$Q$1</c:f>
              <c:strCache>
                <c:ptCount val="1"/>
                <c:pt idx="0">
                  <c:v>ドキュメント品質指摘/成果</c:v>
                </c:pt>
              </c:strCache>
            </c:strRef>
          </c:tx>
          <c:spPr>
            <a:solidFill>
              <a:schemeClr val="accent1"/>
            </a:solidFill>
            <a:ln>
              <a:noFill/>
            </a:ln>
            <a:effectLst/>
          </c:spPr>
          <c:invertIfNegative val="0"/>
          <c:cat>
            <c:numRef>
              <c:f>ドキュメント指摘計測!$M$2:$M$14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ドキュメント指摘計測!$Q$2:$Q$14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CA19-4A69-B0D6-550359EC96E0}"/>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詳細設計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ドキュメント指摘計測!$W$1</c:f>
              <c:strCache>
                <c:ptCount val="1"/>
                <c:pt idx="0">
                  <c:v>ドキュメント品質指摘/成果</c:v>
                </c:pt>
              </c:strCache>
            </c:strRef>
          </c:tx>
          <c:spPr>
            <a:solidFill>
              <a:schemeClr val="accent2"/>
            </a:solidFill>
            <a:ln>
              <a:noFill/>
            </a:ln>
            <a:effectLst/>
          </c:spPr>
          <c:invertIfNegative val="0"/>
          <c:cat>
            <c:numRef>
              <c:f>ドキュメント指摘計測!$S$2:$S$14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ドキュメント指摘計測!$W$2:$W$14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67-405A-817B-CD6419FC3B5D}"/>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製作</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ドキュメント指摘計測!$AC$1</c:f>
              <c:strCache>
                <c:ptCount val="1"/>
                <c:pt idx="0">
                  <c:v>ドキュメント品質指摘/成果</c:v>
                </c:pt>
              </c:strCache>
            </c:strRef>
          </c:tx>
          <c:spPr>
            <a:solidFill>
              <a:schemeClr val="accent2"/>
            </a:solidFill>
            <a:ln>
              <a:noFill/>
            </a:ln>
            <a:effectLst/>
          </c:spPr>
          <c:invertIfNegative val="0"/>
          <c:cat>
            <c:numRef>
              <c:f>ドキュメント指摘計測!$Y$2:$Y$14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ドキュメント指摘計測!$AC$2:$AC$14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DEE-41F6-9B66-5EA70C5681AC}"/>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単体テスト設計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ドキュメント指摘計測!$AI$1</c:f>
              <c:strCache>
                <c:ptCount val="1"/>
                <c:pt idx="0">
                  <c:v>ドキュメント品質指摘/成果</c:v>
                </c:pt>
              </c:strCache>
            </c:strRef>
          </c:tx>
          <c:spPr>
            <a:solidFill>
              <a:schemeClr val="accent2"/>
            </a:solidFill>
            <a:ln>
              <a:noFill/>
            </a:ln>
            <a:effectLst/>
          </c:spPr>
          <c:invertIfNegative val="0"/>
          <c:cat>
            <c:numRef>
              <c:f>ドキュメント指摘計測!$AE$2:$AE$14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ドキュメント指摘計測!$AI$2:$AI$14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DF4-4B20-A01B-6F0AD92873A5}"/>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単体テスト実施</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ドキュメント指摘計測!$AO$1</c:f>
              <c:strCache>
                <c:ptCount val="1"/>
                <c:pt idx="0">
                  <c:v>ドキュメント品質指摘/成果</c:v>
                </c:pt>
              </c:strCache>
            </c:strRef>
          </c:tx>
          <c:spPr>
            <a:solidFill>
              <a:schemeClr val="accent2"/>
            </a:solidFill>
            <a:ln>
              <a:noFill/>
            </a:ln>
            <a:effectLst/>
          </c:spPr>
          <c:invertIfNegative val="0"/>
          <c:cat>
            <c:numRef>
              <c:f>ドキュメント指摘計測!$AK$2:$AK$14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ドキュメント指摘計測!$AO$2:$AO$14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3A1-47C0-97EA-C41523877D53}"/>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結合テスト設計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ドキュメント指摘計測!$BA$1</c:f>
              <c:strCache>
                <c:ptCount val="1"/>
                <c:pt idx="0">
                  <c:v>ドキュメント品質指摘/成果</c:v>
                </c:pt>
              </c:strCache>
            </c:strRef>
          </c:tx>
          <c:spPr>
            <a:solidFill>
              <a:schemeClr val="accent1"/>
            </a:solidFill>
            <a:ln>
              <a:noFill/>
            </a:ln>
            <a:effectLst/>
          </c:spPr>
          <c:invertIfNegative val="0"/>
          <c:cat>
            <c:numRef>
              <c:f>ドキュメント指摘計測!$AW$2:$AW$14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ドキュメント指摘計測!$BA$2:$BA$14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0-3420-4EC6-AD21-DBE6E414FB4D}"/>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結合テスト実施</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ドキュメント指摘計測!$BA$1</c:f>
              <c:strCache>
                <c:ptCount val="1"/>
                <c:pt idx="0">
                  <c:v>ドキュメント品質指摘/成果</c:v>
                </c:pt>
              </c:strCache>
            </c:strRef>
          </c:tx>
          <c:spPr>
            <a:solidFill>
              <a:schemeClr val="accent1"/>
            </a:solidFill>
            <a:ln>
              <a:noFill/>
            </a:ln>
            <a:effectLst/>
          </c:spPr>
          <c:invertIfNegative val="0"/>
          <c:cat>
            <c:numRef>
              <c:f>ドキュメント指摘計測!$AW$2:$AW$14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ドキュメント指摘計測!$BA$2:$BA$14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77C9-4B46-B564-3F91C9229A1D}"/>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外部テスト設計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ドキュメント指摘計測!$BG$1</c:f>
              <c:strCache>
                <c:ptCount val="1"/>
                <c:pt idx="0">
                  <c:v>ドキュメント品質指摘/成果</c:v>
                </c:pt>
              </c:strCache>
            </c:strRef>
          </c:tx>
          <c:spPr>
            <a:solidFill>
              <a:schemeClr val="accent2"/>
            </a:solidFill>
            <a:ln>
              <a:noFill/>
            </a:ln>
            <a:effectLst/>
          </c:spPr>
          <c:invertIfNegative val="0"/>
          <c:val>
            <c:numRef>
              <c:f>ドキュメント指摘計測!$BG$2:$BG$14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DB6-4117-AC45-E4987CEE81D8}"/>
            </c:ext>
          </c:extLst>
        </c:ser>
        <c:dLbls>
          <c:showLegendKey val="0"/>
          <c:showVal val="0"/>
          <c:showCatName val="0"/>
          <c:showSerName val="0"/>
          <c:showPercent val="0"/>
          <c:showBubbleSize val="0"/>
        </c:dLbls>
        <c:gapWidth val="150"/>
        <c:axId val="855168168"/>
        <c:axId val="855173416"/>
        <c:extLst/>
      </c:barChart>
      <c:catAx>
        <c:axId val="85516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Algn val="ctr"/>
        <c:lblOffset val="100"/>
        <c:noMultiLvlLbl val="1"/>
      </c:cat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外部テスト実施</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1"/>
          <c:order val="0"/>
          <c:tx>
            <c:strRef>
              <c:f>ドキュメント指摘計測!$BM$1</c:f>
              <c:strCache>
                <c:ptCount val="1"/>
                <c:pt idx="0">
                  <c:v>ドキュメント品質指摘/成果</c:v>
                </c:pt>
              </c:strCache>
            </c:strRef>
          </c:tx>
          <c:spPr>
            <a:solidFill>
              <a:schemeClr val="accent2"/>
            </a:solidFill>
            <a:ln>
              <a:noFill/>
            </a:ln>
            <a:effectLst/>
          </c:spPr>
          <c:invertIfNegative val="0"/>
          <c:cat>
            <c:numRef>
              <c:f>ドキュメント指摘計測!$BI$2:$BI$14</c:f>
              <c:numCache>
                <c:formatCode>m/d/yyyy</c:formatCode>
                <c:ptCount val="13"/>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numCache>
            </c:numRef>
          </c:cat>
          <c:val>
            <c:numRef>
              <c:f>ドキュメント指摘計測!$BM$2:$BM$14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298-4C88-8B37-F51F47112179}"/>
            </c:ext>
          </c:extLst>
        </c:ser>
        <c:dLbls>
          <c:showLegendKey val="0"/>
          <c:showVal val="0"/>
          <c:showCatName val="0"/>
          <c:showSerName val="0"/>
          <c:showPercent val="0"/>
          <c:showBubbleSize val="0"/>
        </c:dLbls>
        <c:gapWidth val="150"/>
        <c:axId val="855168168"/>
        <c:axId val="855173416"/>
        <c:extLst/>
      </c:barChart>
      <c:dateAx>
        <c:axId val="85516816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73416"/>
        <c:crosses val="autoZero"/>
        <c:auto val="1"/>
        <c:lblOffset val="100"/>
        <c:baseTimeUnit val="months"/>
      </c:dateAx>
      <c:valAx>
        <c:axId val="85517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5168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3</xdr:row>
          <xdr:rowOff>152400</xdr:rowOff>
        </xdr:from>
        <xdr:to>
          <xdr:col>3</xdr:col>
          <xdr:colOff>1371600</xdr:colOff>
          <xdr:row>4</xdr:row>
          <xdr:rowOff>200025</xdr:rowOff>
        </xdr:to>
        <xdr:sp macro="" textlink="">
          <xdr:nvSpPr>
            <xdr:cNvPr id="759809" name="GetProjectNameButton" hidden="1">
              <a:extLst>
                <a:ext uri="{63B3BB69-23CF-44E3-9099-C40C66FF867C}">
                  <a14:compatExt spid="_x0000_s75980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733425</xdr:colOff>
          <xdr:row>12</xdr:row>
          <xdr:rowOff>247650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追加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13</xdr:row>
          <xdr:rowOff>57150</xdr:rowOff>
        </xdr:from>
        <xdr:to>
          <xdr:col>1</xdr:col>
          <xdr:colOff>1190625</xdr:colOff>
          <xdr:row>14</xdr:row>
          <xdr:rowOff>114300</xdr:rowOff>
        </xdr:to>
        <xdr:sp macro="" textlink="">
          <xdr:nvSpPr>
            <xdr:cNvPr id="809985" name="Button 1" hidden="1">
              <a:extLst>
                <a:ext uri="{63B3BB69-23CF-44E3-9099-C40C66FF867C}">
                  <a14:compatExt spid="_x0000_s8099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xdr:txBody>
        </xdr:sp>
        <xdr:clientData fPrintsWithSheet="0"/>
      </xdr:twoCellAnchor>
    </mc:Choice>
    <mc:Fallback/>
  </mc:AlternateContent>
  <xdr:twoCellAnchor editAs="oneCell">
    <xdr:from>
      <xdr:col>5</xdr:col>
      <xdr:colOff>76201</xdr:colOff>
      <xdr:row>6</xdr:row>
      <xdr:rowOff>142876</xdr:rowOff>
    </xdr:from>
    <xdr:to>
      <xdr:col>16</xdr:col>
      <xdr:colOff>302559</xdr:colOff>
      <xdr:row>17</xdr:row>
      <xdr:rowOff>43418</xdr:rowOff>
    </xdr:to>
    <xdr:pic>
      <xdr:nvPicPr>
        <xdr:cNvPr id="2" name="図 1"/>
        <xdr:cNvPicPr>
          <a:picLocks noChangeAspect="1"/>
        </xdr:cNvPicPr>
      </xdr:nvPicPr>
      <xdr:blipFill rotWithShape="1">
        <a:blip xmlns:r="http://schemas.openxmlformats.org/officeDocument/2006/relationships" r:embed="rId1"/>
        <a:srcRect r="9363"/>
        <a:stretch/>
      </xdr:blipFill>
      <xdr:spPr>
        <a:xfrm>
          <a:off x="9870142" y="1151405"/>
          <a:ext cx="7745505" cy="17495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4</xdr:row>
          <xdr:rowOff>114300</xdr:rowOff>
        </xdr:from>
        <xdr:to>
          <xdr:col>2</xdr:col>
          <xdr:colOff>76200</xdr:colOff>
          <xdr:row>6</xdr:row>
          <xdr:rowOff>66675</xdr:rowOff>
        </xdr:to>
        <xdr:sp macro="" textlink="">
          <xdr:nvSpPr>
            <xdr:cNvPr id="811009" name="Button 1" hidden="1">
              <a:extLst>
                <a:ext uri="{63B3BB69-23CF-44E3-9099-C40C66FF867C}">
                  <a14:compatExt spid="_x0000_s8110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承認メール作成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657225</xdr:colOff>
          <xdr:row>16</xdr:row>
          <xdr:rowOff>133350</xdr:rowOff>
        </xdr:from>
        <xdr:to>
          <xdr:col>5</xdr:col>
          <xdr:colOff>457200</xdr:colOff>
          <xdr:row>19</xdr:row>
          <xdr:rowOff>9525</xdr:rowOff>
        </xdr:to>
        <xdr:sp macro="" textlink="">
          <xdr:nvSpPr>
            <xdr:cNvPr id="766979" name="CommandButton1" hidden="1">
              <a:extLst>
                <a:ext uri="{63B3BB69-23CF-44E3-9099-C40C66FF867C}">
                  <a14:compatExt spid="_x0000_s7669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56</xdr:row>
          <xdr:rowOff>0</xdr:rowOff>
        </xdr:from>
        <xdr:to>
          <xdr:col>1</xdr:col>
          <xdr:colOff>485775</xdr:colOff>
          <xdr:row>58</xdr:row>
          <xdr:rowOff>0</xdr:rowOff>
        </xdr:to>
        <xdr:sp macro="" textlink="">
          <xdr:nvSpPr>
            <xdr:cNvPr id="769025" name="Button 1" hidden="1">
              <a:extLst>
                <a:ext uri="{63B3BB69-23CF-44E3-9099-C40C66FF867C}">
                  <a14:compatExt spid="_x0000_s769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追加</a:t>
              </a:r>
            </a:p>
          </xdr:txBody>
        </xdr:sp>
        <xdr:clientData fPrintsWithSheet="0"/>
      </xdr:twoCellAnchor>
    </mc:Choice>
    <mc:Fallback/>
  </mc:AlternateContent>
  <xdr:twoCellAnchor>
    <xdr:from>
      <xdr:col>2</xdr:col>
      <xdr:colOff>752475</xdr:colOff>
      <xdr:row>1</xdr:row>
      <xdr:rowOff>133350</xdr:rowOff>
    </xdr:from>
    <xdr:to>
      <xdr:col>3</xdr:col>
      <xdr:colOff>647700</xdr:colOff>
      <xdr:row>3</xdr:row>
      <xdr:rowOff>57150</xdr:rowOff>
    </xdr:to>
    <xdr:sp macro="" textlink="">
      <xdr:nvSpPr>
        <xdr:cNvPr id="769026" name="AutoShape 2"/>
        <xdr:cNvSpPr>
          <a:spLocks noChangeArrowheads="1"/>
        </xdr:cNvSpPr>
      </xdr:nvSpPr>
      <xdr:spPr bwMode="auto">
        <a:xfrm>
          <a:off x="1857375" y="466725"/>
          <a:ext cx="647700" cy="228600"/>
        </a:xfrm>
        <a:prstGeom prst="wedgeRectCallout">
          <a:avLst>
            <a:gd name="adj1" fmla="val -47102"/>
            <a:gd name="adj2" fmla="val 1750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捺印はＮＧ</a:t>
          </a:r>
        </a:p>
        <a:p>
          <a:pPr algn="l" rtl="0">
            <a:lnSpc>
              <a:spcPts val="1100"/>
            </a:lnSpc>
            <a:defRPr sz="1000"/>
          </a:pPr>
          <a:endParaRPr lang="ja-JP" altLang="en-US"/>
        </a:p>
      </xdr:txBody>
    </xdr:sp>
    <xdr:clientData/>
  </xdr:twoCellAnchor>
  <xdr:twoCellAnchor>
    <xdr:from>
      <xdr:col>11</xdr:col>
      <xdr:colOff>28575</xdr:colOff>
      <xdr:row>39</xdr:row>
      <xdr:rowOff>190500</xdr:rowOff>
    </xdr:from>
    <xdr:to>
      <xdr:col>17</xdr:col>
      <xdr:colOff>276225</xdr:colOff>
      <xdr:row>45</xdr:row>
      <xdr:rowOff>19050</xdr:rowOff>
    </xdr:to>
    <xdr:sp macro="" textlink="">
      <xdr:nvSpPr>
        <xdr:cNvPr id="2" name="正方形/長方形 1"/>
        <xdr:cNvSpPr/>
      </xdr:nvSpPr>
      <xdr:spPr bwMode="auto">
        <a:xfrm>
          <a:off x="8010525" y="7924800"/>
          <a:ext cx="4762500" cy="1285875"/>
        </a:xfrm>
        <a:prstGeom prst="rect">
          <a:avLst/>
        </a:prstGeom>
        <a:solidFill>
          <a:srgbClr val="FFFF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t" upright="1"/>
        <a:lstStyle/>
        <a:p>
          <a:pPr algn="l"/>
          <a:r>
            <a:rPr kumimoji="1" lang="en-US" altLang="ja-JP" sz="900" b="1">
              <a:solidFill>
                <a:srgbClr val="FF0000"/>
              </a:solidFill>
            </a:rPr>
            <a:t>※</a:t>
          </a:r>
          <a:r>
            <a:rPr kumimoji="1" lang="ja-JP" altLang="en-US" sz="900" b="1">
              <a:solidFill>
                <a:srgbClr val="FF0000"/>
              </a:solidFill>
            </a:rPr>
            <a:t>レビューの準備時に、レビューの確認観点を定義する。</a:t>
          </a:r>
          <a:endParaRPr kumimoji="1" lang="en-US" altLang="ja-JP" sz="900" b="1">
            <a:solidFill>
              <a:srgbClr val="FF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FF0000"/>
              </a:solidFill>
            </a:rPr>
            <a:t>　　指定区分</a:t>
          </a:r>
          <a:r>
            <a:rPr kumimoji="1" lang="en-US" altLang="ja-JP" sz="900" b="1">
              <a:solidFill>
                <a:srgbClr val="FF0000"/>
              </a:solidFill>
              <a:effectLst/>
              <a:latin typeface="+mn-lt"/>
              <a:ea typeface="+mn-ea"/>
              <a:cs typeface="+mn-cs"/>
            </a:rPr>
            <a:t>C</a:t>
          </a:r>
          <a:r>
            <a:rPr kumimoji="1" lang="ja-JP" altLang="ja-JP" sz="900" b="1">
              <a:solidFill>
                <a:srgbClr val="FF0000"/>
              </a:solidFill>
              <a:effectLst/>
              <a:latin typeface="+mn-lt"/>
              <a:ea typeface="+mn-ea"/>
              <a:cs typeface="+mn-cs"/>
            </a:rPr>
            <a:t>以上の場合、ピアレビュー基準の確認観点は必ず満たすこと</a:t>
          </a:r>
          <a:endParaRPr kumimoji="1" lang="en-US" altLang="ja-JP" sz="900" b="1">
            <a:solidFill>
              <a:srgbClr val="FF0000"/>
            </a:solidFill>
          </a:endParaRPr>
        </a:p>
        <a:p>
          <a:pPr algn="l"/>
          <a:r>
            <a:rPr kumimoji="1" lang="ja-JP" altLang="en-US" sz="900">
              <a:solidFill>
                <a:sysClr val="windowText" lastClr="000000"/>
              </a:solidFill>
            </a:rPr>
            <a:t>レビューの観点は、以下のいずれかの方法で記載するとよい。</a:t>
          </a:r>
          <a:endParaRPr kumimoji="1" lang="en-US" altLang="ja-JP" sz="900">
            <a:solidFill>
              <a:sysClr val="windowText" lastClr="000000"/>
            </a:solidFill>
          </a:endParaRPr>
        </a:p>
        <a:p>
          <a:pPr algn="l"/>
          <a:r>
            <a:rPr kumimoji="1" lang="ja-JP" altLang="en-US" sz="900">
              <a:solidFill>
                <a:sysClr val="windowText" lastClr="000000"/>
              </a:solidFill>
            </a:rPr>
            <a:t>■開発業務である場合</a:t>
          </a:r>
          <a:endParaRPr kumimoji="1" lang="en-US" altLang="ja-JP" sz="900">
            <a:solidFill>
              <a:sysClr val="windowText" lastClr="000000"/>
            </a:solidFill>
          </a:endParaRPr>
        </a:p>
        <a:p>
          <a:pPr algn="l"/>
          <a:r>
            <a:rPr kumimoji="1" lang="ja-JP" altLang="en-US" sz="900">
              <a:solidFill>
                <a:sysClr val="windowText" lastClr="000000"/>
              </a:solidFill>
            </a:rPr>
            <a:t>　レビューの確認観点をチェックシート等に記載する。</a:t>
          </a:r>
          <a:endParaRPr kumimoji="1" lang="en-US" altLang="ja-JP" sz="900">
            <a:solidFill>
              <a:sysClr val="windowText" lastClr="000000"/>
            </a:solidFill>
          </a:endParaRPr>
        </a:p>
        <a:p>
          <a:pPr algn="l"/>
          <a:r>
            <a:rPr kumimoji="1" lang="ja-JP" altLang="en-US" sz="900">
              <a:solidFill>
                <a:sysClr val="windowText" lastClr="000000"/>
              </a:solidFill>
            </a:rPr>
            <a:t>　「具体的な観点</a:t>
          </a:r>
          <a:r>
            <a:rPr kumimoji="1" lang="en-US" altLang="ja-JP" sz="900">
              <a:solidFill>
                <a:sysClr val="windowText" lastClr="000000"/>
              </a:solidFill>
            </a:rPr>
            <a:t>/</a:t>
          </a:r>
          <a:r>
            <a:rPr kumimoji="1" lang="ja-JP" altLang="en-US" sz="900">
              <a:solidFill>
                <a:sysClr val="windowText" lastClr="000000"/>
              </a:solidFill>
            </a:rPr>
            <a:t>技術課題」欄は、上記確認観点を記載したファイルへのリンクを記載する。</a:t>
          </a:r>
          <a:endParaRPr kumimoji="1" lang="en-US" altLang="ja-JP" sz="900">
            <a:solidFill>
              <a:sysClr val="windowText" lastClr="000000"/>
            </a:solidFill>
          </a:endParaRPr>
        </a:p>
        <a:p>
          <a:pPr algn="l"/>
          <a:r>
            <a:rPr kumimoji="1" lang="ja-JP" altLang="en-US" sz="900">
              <a:solidFill>
                <a:sysClr val="windowText" lastClr="000000"/>
              </a:solidFill>
            </a:rPr>
            <a:t>■開発業務でない場合</a:t>
          </a:r>
          <a:endParaRPr kumimoji="1" lang="en-US" altLang="ja-JP" sz="900">
            <a:solidFill>
              <a:sysClr val="windowText" lastClr="000000"/>
            </a:solidFill>
          </a:endParaRPr>
        </a:p>
        <a:p>
          <a:pPr algn="l"/>
          <a:r>
            <a:rPr kumimoji="1" lang="ja-JP" altLang="en-US" sz="900">
              <a:solidFill>
                <a:sysClr val="windowText" lastClr="000000"/>
              </a:solidFill>
            </a:rPr>
            <a:t>　本ピアレビュー管理表に、プロジェクト独自で定義したレビューの確認観点を記載する。</a:t>
          </a:r>
          <a:endParaRPr lang="ja-JP" altLang="ja-JP" sz="900" b="1">
            <a:solidFill>
              <a:srgbClr val="FF0000"/>
            </a:solidFill>
            <a:effectLst/>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56</xdr:row>
          <xdr:rowOff>0</xdr:rowOff>
        </xdr:from>
        <xdr:to>
          <xdr:col>1</xdr:col>
          <xdr:colOff>485775</xdr:colOff>
          <xdr:row>58</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追加</a:t>
              </a:r>
            </a:p>
          </xdr:txBody>
        </xdr:sp>
        <xdr:clientData fPrintsWithSheet="0"/>
      </xdr:twoCellAnchor>
    </mc:Choice>
    <mc:Fallback/>
  </mc:AlternateContent>
  <xdr:twoCellAnchor>
    <xdr:from>
      <xdr:col>2</xdr:col>
      <xdr:colOff>752475</xdr:colOff>
      <xdr:row>1</xdr:row>
      <xdr:rowOff>133350</xdr:rowOff>
    </xdr:from>
    <xdr:to>
      <xdr:col>3</xdr:col>
      <xdr:colOff>647700</xdr:colOff>
      <xdr:row>3</xdr:row>
      <xdr:rowOff>57150</xdr:rowOff>
    </xdr:to>
    <xdr:sp macro="" textlink="">
      <xdr:nvSpPr>
        <xdr:cNvPr id="3" name="AutoShape 2"/>
        <xdr:cNvSpPr>
          <a:spLocks noChangeArrowheads="1"/>
        </xdr:cNvSpPr>
      </xdr:nvSpPr>
      <xdr:spPr bwMode="auto">
        <a:xfrm>
          <a:off x="1857375" y="466725"/>
          <a:ext cx="647700" cy="228600"/>
        </a:xfrm>
        <a:prstGeom prst="wedgeRectCallout">
          <a:avLst>
            <a:gd name="adj1" fmla="val -47102"/>
            <a:gd name="adj2" fmla="val 1750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捺印はＮＧ</a:t>
          </a:r>
        </a:p>
        <a:p>
          <a:pPr algn="l" rtl="0">
            <a:lnSpc>
              <a:spcPts val="1100"/>
            </a:lnSpc>
            <a:defRPr sz="1000"/>
          </a:pPr>
          <a:endParaRPr lang="ja-JP" altLang="en-US"/>
        </a:p>
      </xdr:txBody>
    </xdr:sp>
    <xdr:clientData/>
  </xdr:twoCellAnchor>
  <xdr:twoCellAnchor>
    <xdr:from>
      <xdr:col>11</xdr:col>
      <xdr:colOff>28575</xdr:colOff>
      <xdr:row>39</xdr:row>
      <xdr:rowOff>190500</xdr:rowOff>
    </xdr:from>
    <xdr:to>
      <xdr:col>17</xdr:col>
      <xdr:colOff>276225</xdr:colOff>
      <xdr:row>45</xdr:row>
      <xdr:rowOff>19050</xdr:rowOff>
    </xdr:to>
    <xdr:sp macro="" textlink="">
      <xdr:nvSpPr>
        <xdr:cNvPr id="4" name="正方形/長方形 3"/>
        <xdr:cNvSpPr/>
      </xdr:nvSpPr>
      <xdr:spPr bwMode="auto">
        <a:xfrm>
          <a:off x="8010525" y="7477125"/>
          <a:ext cx="5010150" cy="1285875"/>
        </a:xfrm>
        <a:prstGeom prst="rect">
          <a:avLst/>
        </a:prstGeom>
        <a:solidFill>
          <a:srgbClr val="FFFFFF"/>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t" upright="1"/>
        <a:lstStyle/>
        <a:p>
          <a:pPr algn="l"/>
          <a:r>
            <a:rPr kumimoji="1" lang="en-US" altLang="ja-JP" sz="900" b="1">
              <a:solidFill>
                <a:srgbClr val="FF0000"/>
              </a:solidFill>
            </a:rPr>
            <a:t>※</a:t>
          </a:r>
          <a:r>
            <a:rPr kumimoji="1" lang="ja-JP" altLang="en-US" sz="900" b="1">
              <a:solidFill>
                <a:srgbClr val="FF0000"/>
              </a:solidFill>
            </a:rPr>
            <a:t>レビューの準備時に、レビューの確認観点を定義する。</a:t>
          </a:r>
          <a:endParaRPr kumimoji="1" lang="en-US" altLang="ja-JP" sz="900" b="1">
            <a:solidFill>
              <a:srgbClr val="FF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FF0000"/>
              </a:solidFill>
            </a:rPr>
            <a:t>　　指定区分</a:t>
          </a:r>
          <a:r>
            <a:rPr kumimoji="1" lang="en-US" altLang="ja-JP" sz="900" b="1">
              <a:solidFill>
                <a:srgbClr val="FF0000"/>
              </a:solidFill>
              <a:effectLst/>
              <a:latin typeface="+mn-lt"/>
              <a:ea typeface="+mn-ea"/>
              <a:cs typeface="+mn-cs"/>
            </a:rPr>
            <a:t>C</a:t>
          </a:r>
          <a:r>
            <a:rPr kumimoji="1" lang="ja-JP" altLang="ja-JP" sz="900" b="1">
              <a:solidFill>
                <a:srgbClr val="FF0000"/>
              </a:solidFill>
              <a:effectLst/>
              <a:latin typeface="+mn-lt"/>
              <a:ea typeface="+mn-ea"/>
              <a:cs typeface="+mn-cs"/>
            </a:rPr>
            <a:t>以上の場合、ピアレビュー基準の確認観点は必ず満たすこと</a:t>
          </a:r>
          <a:endParaRPr kumimoji="1" lang="en-US" altLang="ja-JP" sz="900" b="1">
            <a:solidFill>
              <a:srgbClr val="FF0000"/>
            </a:solidFill>
          </a:endParaRPr>
        </a:p>
        <a:p>
          <a:pPr algn="l"/>
          <a:r>
            <a:rPr kumimoji="1" lang="ja-JP" altLang="en-US" sz="900">
              <a:solidFill>
                <a:sysClr val="windowText" lastClr="000000"/>
              </a:solidFill>
            </a:rPr>
            <a:t>レビューの観点は、以下のいずれかの方法で記載するとよい。</a:t>
          </a:r>
          <a:endParaRPr kumimoji="1" lang="en-US" altLang="ja-JP" sz="900">
            <a:solidFill>
              <a:sysClr val="windowText" lastClr="000000"/>
            </a:solidFill>
          </a:endParaRPr>
        </a:p>
        <a:p>
          <a:pPr algn="l"/>
          <a:r>
            <a:rPr kumimoji="1" lang="ja-JP" altLang="en-US" sz="900">
              <a:solidFill>
                <a:sysClr val="windowText" lastClr="000000"/>
              </a:solidFill>
            </a:rPr>
            <a:t>■開発業務である場合</a:t>
          </a:r>
          <a:endParaRPr kumimoji="1" lang="en-US" altLang="ja-JP" sz="900">
            <a:solidFill>
              <a:sysClr val="windowText" lastClr="000000"/>
            </a:solidFill>
          </a:endParaRPr>
        </a:p>
        <a:p>
          <a:pPr algn="l"/>
          <a:r>
            <a:rPr kumimoji="1" lang="ja-JP" altLang="en-US" sz="900">
              <a:solidFill>
                <a:sysClr val="windowText" lastClr="000000"/>
              </a:solidFill>
            </a:rPr>
            <a:t>　レビューの確認観点をチェックシート等に記載する。</a:t>
          </a:r>
          <a:endParaRPr kumimoji="1" lang="en-US" altLang="ja-JP" sz="900">
            <a:solidFill>
              <a:sysClr val="windowText" lastClr="000000"/>
            </a:solidFill>
          </a:endParaRPr>
        </a:p>
        <a:p>
          <a:pPr algn="l"/>
          <a:r>
            <a:rPr kumimoji="1" lang="ja-JP" altLang="en-US" sz="900">
              <a:solidFill>
                <a:sysClr val="windowText" lastClr="000000"/>
              </a:solidFill>
            </a:rPr>
            <a:t>　「具体的な観点</a:t>
          </a:r>
          <a:r>
            <a:rPr kumimoji="1" lang="en-US" altLang="ja-JP" sz="900">
              <a:solidFill>
                <a:sysClr val="windowText" lastClr="000000"/>
              </a:solidFill>
            </a:rPr>
            <a:t>/</a:t>
          </a:r>
          <a:r>
            <a:rPr kumimoji="1" lang="ja-JP" altLang="en-US" sz="900">
              <a:solidFill>
                <a:sysClr val="windowText" lastClr="000000"/>
              </a:solidFill>
            </a:rPr>
            <a:t>技術課題」欄は、上記確認観点を記載したファイルへのリンクを記載する。</a:t>
          </a:r>
          <a:endParaRPr kumimoji="1" lang="en-US" altLang="ja-JP" sz="900">
            <a:solidFill>
              <a:sysClr val="windowText" lastClr="000000"/>
            </a:solidFill>
          </a:endParaRPr>
        </a:p>
        <a:p>
          <a:pPr algn="l"/>
          <a:r>
            <a:rPr kumimoji="1" lang="ja-JP" altLang="en-US" sz="900">
              <a:solidFill>
                <a:sysClr val="windowText" lastClr="000000"/>
              </a:solidFill>
            </a:rPr>
            <a:t>■開発業務でない場合</a:t>
          </a:r>
          <a:endParaRPr kumimoji="1" lang="en-US" altLang="ja-JP" sz="900">
            <a:solidFill>
              <a:sysClr val="windowText" lastClr="000000"/>
            </a:solidFill>
          </a:endParaRPr>
        </a:p>
        <a:p>
          <a:pPr algn="l"/>
          <a:r>
            <a:rPr kumimoji="1" lang="ja-JP" altLang="en-US" sz="900">
              <a:solidFill>
                <a:sysClr val="windowText" lastClr="000000"/>
              </a:solidFill>
            </a:rPr>
            <a:t>　本ピアレビュー管理表に、プロジェクト独自で定義したレビューの確認観点を記載する。</a:t>
          </a:r>
          <a:endParaRPr lang="ja-JP" altLang="ja-JP" sz="900" b="1">
            <a:solidFill>
              <a:srgbClr val="FF0000"/>
            </a:solidFill>
            <a:effectLst/>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657225</xdr:colOff>
          <xdr:row>2</xdr:row>
          <xdr:rowOff>47625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再定義</a:t>
              </a:r>
            </a:p>
          </xdr:txBody>
        </xdr:sp>
        <xdr:clientData fPrintsWithSheet="0"/>
      </xdr:twoCellAnchor>
    </mc:Choice>
    <mc:Fallback/>
  </mc:AlternateContent>
  <xdr:twoCellAnchor>
    <xdr:from>
      <xdr:col>6</xdr:col>
      <xdr:colOff>85725</xdr:colOff>
      <xdr:row>1</xdr:row>
      <xdr:rowOff>142875</xdr:rowOff>
    </xdr:from>
    <xdr:to>
      <xdr:col>8</xdr:col>
      <xdr:colOff>104775</xdr:colOff>
      <xdr:row>4</xdr:row>
      <xdr:rowOff>9525</xdr:rowOff>
    </xdr:to>
    <xdr:sp macro="" textlink="">
      <xdr:nvSpPr>
        <xdr:cNvPr id="4120" name="Text Box 24"/>
        <xdr:cNvSpPr txBox="1">
          <a:spLocks noChangeArrowheads="1"/>
        </xdr:cNvSpPr>
      </xdr:nvSpPr>
      <xdr:spPr bwMode="auto">
        <a:xfrm>
          <a:off x="5705475" y="314325"/>
          <a:ext cx="2495550" cy="38100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選択肢項目は連続で記入してください。</a:t>
          </a:r>
        </a:p>
        <a:p>
          <a:pPr algn="l" rtl="0">
            <a:lnSpc>
              <a:spcPts val="1200"/>
            </a:lnSpc>
            <a:defRPr sz="1000"/>
          </a:pPr>
          <a:r>
            <a:rPr lang="ja-JP" altLang="en-US" sz="1000" b="0" i="0" u="none" strike="noStrike" baseline="0">
              <a:solidFill>
                <a:srgbClr val="000000"/>
              </a:solidFill>
              <a:latin typeface="ＭＳ Ｐゴシック"/>
              <a:ea typeface="ＭＳ Ｐゴシック"/>
            </a:rPr>
            <a:t>空白セルがデリミタです。</a:t>
          </a:r>
        </a:p>
        <a:p>
          <a:pPr algn="l" rtl="0">
            <a:defRPr sz="1000"/>
          </a:pPr>
          <a:endParaRPr lang="ja-JP" altLang="en-US" sz="1000" b="0" i="0" u="none" strike="noStrike" baseline="0">
            <a:solidFill>
              <a:srgbClr val="000000"/>
            </a:solidFill>
            <a:latin typeface="ＭＳ Ｐゴシック"/>
            <a:ea typeface="ＭＳ Ｐゴシック"/>
          </a:endParaRPr>
        </a:p>
        <a:p>
          <a:pPr algn="l" rtl="0">
            <a:lnSpc>
              <a:spcPts val="1100"/>
            </a:lnSpc>
            <a:defRPr sz="1000"/>
          </a:pPr>
          <a:endParaRPr lang="ja-JP" altLang="en-US"/>
        </a:p>
      </xdr:txBody>
    </xdr:sp>
    <xdr:clientData/>
  </xdr:twoCellAnchor>
  <xdr:twoCellAnchor>
    <xdr:from>
      <xdr:col>8</xdr:col>
      <xdr:colOff>190500</xdr:colOff>
      <xdr:row>0</xdr:row>
      <xdr:rowOff>152400</xdr:rowOff>
    </xdr:from>
    <xdr:to>
      <xdr:col>10</xdr:col>
      <xdr:colOff>57150</xdr:colOff>
      <xdr:row>4</xdr:row>
      <xdr:rowOff>57150</xdr:rowOff>
    </xdr:to>
    <xdr:sp macro="" textlink="">
      <xdr:nvSpPr>
        <xdr:cNvPr id="4122" name="Text Box 26"/>
        <xdr:cNvSpPr txBox="1">
          <a:spLocks noChangeArrowheads="1"/>
        </xdr:cNvSpPr>
      </xdr:nvSpPr>
      <xdr:spPr bwMode="auto">
        <a:xfrm>
          <a:off x="8286750" y="152400"/>
          <a:ext cx="2105025" cy="590550"/>
        </a:xfrm>
        <a:prstGeom prst="rect">
          <a:avLst/>
        </a:prstGeom>
        <a:solidFill>
          <a:srgbClr xmlns:mc="http://schemas.openxmlformats.org/markup-compatibility/2006" xmlns:a14="http://schemas.microsoft.com/office/drawing/2010/main" val="FF99CC" mc:Ignorable="a14" a14:legacySpreadsheetColorIndex="4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工程定義のＮＧ文字の制約</a:t>
          </a:r>
        </a:p>
        <a:p>
          <a:pPr algn="l" rtl="0">
            <a:defRPr sz="1000"/>
          </a:pPr>
          <a:r>
            <a:rPr lang="ja-JP" altLang="en-US" sz="1000" b="0" i="0" u="none" strike="noStrike" baseline="0">
              <a:solidFill>
                <a:srgbClr val="000000"/>
              </a:solidFill>
              <a:latin typeface="ＭＳ Ｐゴシック"/>
              <a:ea typeface="ＭＳ Ｐゴシック"/>
            </a:rPr>
            <a:t>・記号、・空白</a:t>
          </a:r>
        </a:p>
        <a:p>
          <a:pPr algn="l" rtl="0">
            <a:defRPr sz="1000"/>
          </a:pPr>
          <a:r>
            <a:rPr lang="ja-JP" altLang="en-US" sz="1000" b="0" i="0" u="none" strike="noStrike" baseline="0">
              <a:solidFill>
                <a:srgbClr val="000000"/>
              </a:solidFill>
              <a:latin typeface="ＭＳ Ｐゴシック"/>
              <a:ea typeface="ＭＳ Ｐゴシック"/>
            </a:rPr>
            <a:t>・先頭に数字（全角・半角共にＮＧ）</a:t>
          </a:r>
          <a:endParaRPr lang="ja-JP" altLang="en-US" sz="1100" b="0" i="0" u="none" strike="noStrike" baseline="0">
            <a:solidFill>
              <a:srgbClr val="000000"/>
            </a:solidFill>
            <a:latin typeface="ＭＳ Ｐゴシック"/>
            <a:ea typeface="ＭＳ Ｐゴシック"/>
          </a:endParaRPr>
        </a:p>
        <a:p>
          <a:pPr algn="l" rtl="0">
            <a:defRPr sz="1000"/>
          </a:pPr>
          <a:endParaRPr lang="ja-JP" altLang="en-US"/>
        </a:p>
      </xdr:txBody>
    </xdr:sp>
    <xdr:clientData/>
  </xdr:twoCellAnchor>
  <xdr:twoCellAnchor>
    <xdr:from>
      <xdr:col>1</xdr:col>
      <xdr:colOff>828675</xdr:colOff>
      <xdr:row>0</xdr:row>
      <xdr:rowOff>28575</xdr:rowOff>
    </xdr:from>
    <xdr:to>
      <xdr:col>5</xdr:col>
      <xdr:colOff>295275</xdr:colOff>
      <xdr:row>2</xdr:row>
      <xdr:rowOff>85725</xdr:rowOff>
    </xdr:to>
    <xdr:sp macro="" textlink="">
      <xdr:nvSpPr>
        <xdr:cNvPr id="4124" name="Text Box 28"/>
        <xdr:cNvSpPr txBox="1">
          <a:spLocks noChangeArrowheads="1"/>
        </xdr:cNvSpPr>
      </xdr:nvSpPr>
      <xdr:spPr bwMode="auto">
        <a:xfrm>
          <a:off x="1152525" y="28575"/>
          <a:ext cx="3486150" cy="40005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0" bIns="0" anchor="t" upright="1"/>
        <a:lstStyle/>
        <a:p>
          <a:pPr algn="l" rtl="0">
            <a:defRPr sz="1000"/>
          </a:pPr>
          <a:r>
            <a:rPr lang="ja-JP" altLang="en-US" sz="1100" b="0" i="0" u="none" strike="noStrike" baseline="0">
              <a:solidFill>
                <a:srgbClr val="000000"/>
              </a:solidFill>
              <a:latin typeface="+mn-ea"/>
              <a:ea typeface="+mn-ea"/>
            </a:rPr>
            <a:t>選択肢定義、変更した場合は、必ず「再定義」ボタンを押下願います。</a:t>
          </a:r>
          <a:endParaRPr lang="ja-JP" altLang="en-US" sz="1100" b="1" i="0" u="none" strike="noStrike" baseline="0">
            <a:solidFill>
              <a:srgbClr val="000000"/>
            </a:solidFill>
            <a:latin typeface="+mn-ea"/>
            <a:ea typeface="+mn-ea"/>
          </a:endParaRPr>
        </a:p>
        <a:p>
          <a:pPr algn="l" rtl="0">
            <a:lnSpc>
              <a:spcPts val="1000"/>
            </a:lnSpc>
            <a:defRPr sz="1000"/>
          </a:pPr>
          <a:endParaRPr lang="ja-JP" altLang="en-US">
            <a:latin typeface="+mn-ea"/>
            <a:ea typeface="+mn-ea"/>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161925</xdr:colOff>
      <xdr:row>1</xdr:row>
      <xdr:rowOff>66675</xdr:rowOff>
    </xdr:from>
    <xdr:to>
      <xdr:col>13</xdr:col>
      <xdr:colOff>219076</xdr:colOff>
      <xdr:row>34</xdr:row>
      <xdr:rowOff>1</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36</xdr:row>
      <xdr:rowOff>66675</xdr:rowOff>
    </xdr:from>
    <xdr:to>
      <xdr:col>13</xdr:col>
      <xdr:colOff>276226</xdr:colOff>
      <xdr:row>69</xdr:row>
      <xdr:rowOff>1</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72</xdr:row>
      <xdr:rowOff>47625</xdr:rowOff>
    </xdr:from>
    <xdr:to>
      <xdr:col>13</xdr:col>
      <xdr:colOff>247651</xdr:colOff>
      <xdr:row>104</xdr:row>
      <xdr:rowOff>152401</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228600</xdr:colOff>
      <xdr:row>110</xdr:row>
      <xdr:rowOff>85725</xdr:rowOff>
    </xdr:from>
    <xdr:to>
      <xdr:col>13</xdr:col>
      <xdr:colOff>285751</xdr:colOff>
      <xdr:row>143</xdr:row>
      <xdr:rowOff>19051</xdr:rowOff>
    </xdr:to>
    <xdr:graphicFrame macro="">
      <xdr:nvGraphicFramePr>
        <xdr:cNvPr id="5" name="グラフ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200025</xdr:colOff>
      <xdr:row>145</xdr:row>
      <xdr:rowOff>38100</xdr:rowOff>
    </xdr:from>
    <xdr:to>
      <xdr:col>13</xdr:col>
      <xdr:colOff>257176</xdr:colOff>
      <xdr:row>177</xdr:row>
      <xdr:rowOff>142876</xdr:rowOff>
    </xdr:to>
    <xdr:graphicFrame macro="">
      <xdr:nvGraphicFramePr>
        <xdr:cNvPr id="6"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209550</xdr:colOff>
      <xdr:row>180</xdr:row>
      <xdr:rowOff>95250</xdr:rowOff>
    </xdr:from>
    <xdr:to>
      <xdr:col>13</xdr:col>
      <xdr:colOff>266701</xdr:colOff>
      <xdr:row>213</xdr:row>
      <xdr:rowOff>28576</xdr:rowOff>
    </xdr:to>
    <xdr:graphicFrame macro="">
      <xdr:nvGraphicFramePr>
        <xdr:cNvPr id="7" name="グラフ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238125</xdr:colOff>
      <xdr:row>215</xdr:row>
      <xdr:rowOff>104775</xdr:rowOff>
    </xdr:from>
    <xdr:to>
      <xdr:col>13</xdr:col>
      <xdr:colOff>295276</xdr:colOff>
      <xdr:row>248</xdr:row>
      <xdr:rowOff>38101</xdr:rowOff>
    </xdr:to>
    <xdr:graphicFrame macro="">
      <xdr:nvGraphicFramePr>
        <xdr:cNvPr id="8" name="グラフ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250</xdr:row>
      <xdr:rowOff>47625</xdr:rowOff>
    </xdr:from>
    <xdr:to>
      <xdr:col>13</xdr:col>
      <xdr:colOff>314326</xdr:colOff>
      <xdr:row>282</xdr:row>
      <xdr:rowOff>152401</xdr:rowOff>
    </xdr:to>
    <xdr:graphicFrame macro="">
      <xdr:nvGraphicFramePr>
        <xdr:cNvPr id="9" name="グラフ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285</xdr:row>
      <xdr:rowOff>19050</xdr:rowOff>
    </xdr:from>
    <xdr:to>
      <xdr:col>13</xdr:col>
      <xdr:colOff>314326</xdr:colOff>
      <xdr:row>317</xdr:row>
      <xdr:rowOff>123826</xdr:rowOff>
    </xdr:to>
    <xdr:graphicFrame macro="">
      <xdr:nvGraphicFramePr>
        <xdr:cNvPr id="1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247650</xdr:colOff>
      <xdr:row>320</xdr:row>
      <xdr:rowOff>57150</xdr:rowOff>
    </xdr:from>
    <xdr:to>
      <xdr:col>13</xdr:col>
      <xdr:colOff>304801</xdr:colOff>
      <xdr:row>352</xdr:row>
      <xdr:rowOff>161926</xdr:rowOff>
    </xdr:to>
    <xdr:graphicFrame macro="">
      <xdr:nvGraphicFramePr>
        <xdr:cNvPr id="11" name="グラフ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238125</xdr:colOff>
      <xdr:row>355</xdr:row>
      <xdr:rowOff>28575</xdr:rowOff>
    </xdr:from>
    <xdr:to>
      <xdr:col>13</xdr:col>
      <xdr:colOff>295276</xdr:colOff>
      <xdr:row>387</xdr:row>
      <xdr:rowOff>133351</xdr:rowOff>
    </xdr:to>
    <xdr:graphicFrame macro="">
      <xdr:nvGraphicFramePr>
        <xdr:cNvPr id="12" name="グラフ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er_project/eModelBase/&#31649;&#29702;/&#35336;&#30011;/&#37325;&#28857;&#23455;&#26045;/&#12489;&#12461;&#12517;&#12513;&#12531;&#12488;&#21697;&#36074;&#12539;&#29983;&#29987;&#24615;&#21521;&#19978;/&#25351;&#25688;&#38598;&#35336;&#12375;&#12367;&#12415;/P60756%20&#12500;&#12450;&#12524;&#12499;&#12517;&#12540;&#31649;&#29702;&#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ito_ka/Desktop/&#12513;&#12540;&#12523;&#26908;&#35342;&#20013;_R2.40&#12539;R0.70&#38283;&#30330;_&#12500;&#12450;&#12524;&#12499;&#12517;&#12540;&#31649;&#29702;&#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マニュアル"/>
      <sheetName val="レビュー管理"/>
      <sheetName val="集計結果"/>
      <sheetName val="記録#1"/>
      <sheetName val="記録#2"/>
      <sheetName val="記録#3"/>
      <sheetName val="記録#4"/>
      <sheetName val="記録#TMP"/>
      <sheetName val="選択肢定義"/>
      <sheetName val="テンプレート変更履歴"/>
      <sheetName val="ドキュメント指摘計測"/>
      <sheetName val="ドキュメント指摘グラフ"/>
    </sheetNames>
    <sheetDataSet>
      <sheetData sheetId="0"/>
      <sheetData sheetId="1"/>
      <sheetData sheetId="2"/>
      <sheetData sheetId="3"/>
      <sheetData sheetId="4"/>
      <sheetData sheetId="5"/>
      <sheetData sheetId="6"/>
      <sheetData sheetId="7"/>
      <sheetData sheetId="8"/>
      <sheetData sheetId="9">
        <row r="9">
          <cell r="C9" t="str">
            <v>要求定義</v>
          </cell>
        </row>
        <row r="10">
          <cell r="C10" t="str">
            <v>要求分析</v>
          </cell>
        </row>
        <row r="11">
          <cell r="C11" t="str">
            <v>基本設計</v>
          </cell>
        </row>
        <row r="12">
          <cell r="C12" t="str">
            <v>詳細設計</v>
          </cell>
        </row>
        <row r="13">
          <cell r="C13" t="str">
            <v>製作</v>
          </cell>
        </row>
        <row r="14">
          <cell r="C14" t="str">
            <v>単体テスト設計</v>
          </cell>
        </row>
        <row r="15">
          <cell r="C15" t="str">
            <v>単体テスト実施</v>
          </cell>
        </row>
        <row r="16">
          <cell r="C16" t="str">
            <v>結合テスト設計</v>
          </cell>
        </row>
        <row r="17">
          <cell r="C17" t="str">
            <v>結合テスト実施</v>
          </cell>
        </row>
        <row r="18">
          <cell r="C18" t="str">
            <v>外部テスト設計</v>
          </cell>
        </row>
        <row r="19">
          <cell r="C19" t="str">
            <v>外部テスト実施</v>
          </cell>
        </row>
        <row r="30">
          <cell r="B30" t="str">
            <v>先安</v>
          </cell>
          <cell r="C30" t="str">
            <v>斎藤</v>
          </cell>
        </row>
        <row r="31">
          <cell r="C31" t="str">
            <v>渡邉</v>
          </cell>
        </row>
        <row r="32">
          <cell r="C32" t="str">
            <v>若林</v>
          </cell>
        </row>
        <row r="33">
          <cell r="C33" t="str">
            <v>金</v>
          </cell>
        </row>
      </sheetData>
      <sheetData sheetId="10"/>
      <sheetData sheetId="11">
        <row r="1">
          <cell r="A1" t="str">
            <v>年月</v>
          </cell>
        </row>
      </sheetData>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マニュアル"/>
      <sheetName val="承認依頼"/>
      <sheetName val="レビュー管理"/>
      <sheetName val="集計結果"/>
      <sheetName val="記録#1"/>
      <sheetName val="記録#2"/>
      <sheetName val="記録#3"/>
      <sheetName val="記録#4"/>
      <sheetName val="記録#5"/>
      <sheetName val="記録#6"/>
      <sheetName val="記録#7"/>
      <sheetName val="記録#8"/>
      <sheetName val="記録#9"/>
      <sheetName val="記録#10"/>
      <sheetName val="記録#11"/>
      <sheetName val="記録#12"/>
      <sheetName val="記録#13"/>
      <sheetName val="記録#14"/>
      <sheetName val="記録#15"/>
      <sheetName val="記録#16"/>
      <sheetName val="記録#17"/>
      <sheetName val="記録#18"/>
      <sheetName val="記録#19"/>
      <sheetName val="記録#20"/>
      <sheetName val="記録#21"/>
      <sheetName val="記録#22"/>
      <sheetName val="記録#23"/>
      <sheetName val="記録#24"/>
      <sheetName val="記録#25"/>
      <sheetName val="記録#26"/>
      <sheetName val="記録#27"/>
      <sheetName val="記録#28"/>
      <sheetName val="記録#29"/>
      <sheetName val="記録#30"/>
      <sheetName val="記録#31"/>
      <sheetName val="記録#32"/>
      <sheetName val="記録#33"/>
      <sheetName val="記録#34"/>
      <sheetName val="記録#35"/>
      <sheetName val="記録#36"/>
      <sheetName val="記録#37"/>
      <sheetName val="記録#38"/>
      <sheetName val="記録#39"/>
      <sheetName val="記録#40"/>
      <sheetName val="記録#41"/>
      <sheetName val="記録#42"/>
      <sheetName val="記録#TMP"/>
      <sheetName val="選択肢定義"/>
      <sheetName val="テンプレート変更履歴"/>
      <sheetName val="メール検討中_R2.40・R0.70開発_ピアレビュー管理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ow r="9">
          <cell r="C9" t="str">
            <v>要求定義</v>
          </cell>
        </row>
        <row r="28">
          <cell r="C28" t="str">
            <v>斉藤</v>
          </cell>
        </row>
        <row r="29">
          <cell r="C29" t="str">
            <v>出口</v>
          </cell>
        </row>
        <row r="30">
          <cell r="C30" t="str">
            <v>若林</v>
          </cell>
        </row>
        <row r="31">
          <cell r="C31" t="str">
            <v>藪下</v>
          </cell>
        </row>
        <row r="32">
          <cell r="C32" t="str">
            <v>金</v>
          </cell>
        </row>
        <row r="33">
          <cell r="C33" t="str">
            <v>竹谷</v>
          </cell>
        </row>
      </sheetData>
      <sheetData sheetId="49" refreshError="1"/>
      <sheetData sheetId="5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0.bin"/><Relationship Id="rId13" Type="http://schemas.openxmlformats.org/officeDocument/2006/relationships/printerSettings" Target="../printerSettings/printerSettings15.bin"/><Relationship Id="rId18" Type="http://schemas.openxmlformats.org/officeDocument/2006/relationships/printerSettings" Target="../printerSettings/printerSettings20.bin"/><Relationship Id="rId26" Type="http://schemas.openxmlformats.org/officeDocument/2006/relationships/printerSettings" Target="../printerSettings/printerSettings28.bin"/><Relationship Id="rId3" Type="http://schemas.openxmlformats.org/officeDocument/2006/relationships/printerSettings" Target="../printerSettings/printerSettings5.bin"/><Relationship Id="rId21" Type="http://schemas.openxmlformats.org/officeDocument/2006/relationships/printerSettings" Target="../printerSettings/printerSettings23.bin"/><Relationship Id="rId7" Type="http://schemas.openxmlformats.org/officeDocument/2006/relationships/printerSettings" Target="../printerSettings/printerSettings9.bin"/><Relationship Id="rId12" Type="http://schemas.openxmlformats.org/officeDocument/2006/relationships/printerSettings" Target="../printerSettings/printerSettings14.bin"/><Relationship Id="rId17" Type="http://schemas.openxmlformats.org/officeDocument/2006/relationships/printerSettings" Target="../printerSettings/printerSettings19.bin"/><Relationship Id="rId25" Type="http://schemas.openxmlformats.org/officeDocument/2006/relationships/printerSettings" Target="../printerSettings/printerSettings27.bin"/><Relationship Id="rId2" Type="http://schemas.openxmlformats.org/officeDocument/2006/relationships/printerSettings" Target="../printerSettings/printerSettings4.bin"/><Relationship Id="rId16" Type="http://schemas.openxmlformats.org/officeDocument/2006/relationships/printerSettings" Target="../printerSettings/printerSettings18.bin"/><Relationship Id="rId20" Type="http://schemas.openxmlformats.org/officeDocument/2006/relationships/printerSettings" Target="../printerSettings/printerSettings22.bin"/><Relationship Id="rId29" Type="http://schemas.openxmlformats.org/officeDocument/2006/relationships/vmlDrawing" Target="../drawings/vmlDrawing2.vml"/><Relationship Id="rId1" Type="http://schemas.openxmlformats.org/officeDocument/2006/relationships/printerSettings" Target="../printerSettings/printerSettings3.bin"/><Relationship Id="rId6" Type="http://schemas.openxmlformats.org/officeDocument/2006/relationships/printerSettings" Target="../printerSettings/printerSettings8.bin"/><Relationship Id="rId11" Type="http://schemas.openxmlformats.org/officeDocument/2006/relationships/printerSettings" Target="../printerSettings/printerSettings13.bin"/><Relationship Id="rId24" Type="http://schemas.openxmlformats.org/officeDocument/2006/relationships/printerSettings" Target="../printerSettings/printerSettings26.bin"/><Relationship Id="rId5" Type="http://schemas.openxmlformats.org/officeDocument/2006/relationships/printerSettings" Target="../printerSettings/printerSettings7.bin"/><Relationship Id="rId15" Type="http://schemas.openxmlformats.org/officeDocument/2006/relationships/printerSettings" Target="../printerSettings/printerSettings17.bin"/><Relationship Id="rId23" Type="http://schemas.openxmlformats.org/officeDocument/2006/relationships/printerSettings" Target="../printerSettings/printerSettings25.bin"/><Relationship Id="rId28" Type="http://schemas.openxmlformats.org/officeDocument/2006/relationships/drawing" Target="../drawings/drawing2.xml"/><Relationship Id="rId10" Type="http://schemas.openxmlformats.org/officeDocument/2006/relationships/printerSettings" Target="../printerSettings/printerSettings12.bin"/><Relationship Id="rId19" Type="http://schemas.openxmlformats.org/officeDocument/2006/relationships/printerSettings" Target="../printerSettings/printerSettings21.bin"/><Relationship Id="rId31" Type="http://schemas.openxmlformats.org/officeDocument/2006/relationships/comments" Target="../comments2.xml"/><Relationship Id="rId4" Type="http://schemas.openxmlformats.org/officeDocument/2006/relationships/printerSettings" Target="../printerSettings/printerSettings6.bin"/><Relationship Id="rId9" Type="http://schemas.openxmlformats.org/officeDocument/2006/relationships/printerSettings" Target="../printerSettings/printerSettings11.bin"/><Relationship Id="rId14" Type="http://schemas.openxmlformats.org/officeDocument/2006/relationships/printerSettings" Target="../printerSettings/printerSettings16.bin"/><Relationship Id="rId22" Type="http://schemas.openxmlformats.org/officeDocument/2006/relationships/printerSettings" Target="../printerSettings/printerSettings24.bin"/><Relationship Id="rId27" Type="http://schemas.openxmlformats.org/officeDocument/2006/relationships/printerSettings" Target="../printerSettings/printerSettings29.bin"/><Relationship Id="rId30"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0.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1.bin"/><Relationship Id="rId1" Type="http://schemas.openxmlformats.org/officeDocument/2006/relationships/hyperlink" Target="..\..\R2.40&#38283;&#30330;_&#12488;&#12524;&#12540;&#12469;&#12499;&#12522;&#12486;&#12451;&#35352;&#37682;&#12471;&#12540;&#12488;.xlsm" TargetMode="External"/><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2.bin"/><Relationship Id="rId5" Type="http://schemas.openxmlformats.org/officeDocument/2006/relationships/image" Target="../media/image3.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3.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4.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2.bin"/><Relationship Id="rId13" Type="http://schemas.openxmlformats.org/officeDocument/2006/relationships/printerSettings" Target="../printerSettings/printerSettings47.bin"/><Relationship Id="rId18" Type="http://schemas.openxmlformats.org/officeDocument/2006/relationships/printerSettings" Target="../printerSettings/printerSettings52.bin"/><Relationship Id="rId26" Type="http://schemas.openxmlformats.org/officeDocument/2006/relationships/printerSettings" Target="../printerSettings/printerSettings60.bin"/><Relationship Id="rId3" Type="http://schemas.openxmlformats.org/officeDocument/2006/relationships/printerSettings" Target="../printerSettings/printerSettings37.bin"/><Relationship Id="rId21" Type="http://schemas.openxmlformats.org/officeDocument/2006/relationships/printerSettings" Target="../printerSettings/printerSettings55.bin"/><Relationship Id="rId7" Type="http://schemas.openxmlformats.org/officeDocument/2006/relationships/printerSettings" Target="../printerSettings/printerSettings41.bin"/><Relationship Id="rId12" Type="http://schemas.openxmlformats.org/officeDocument/2006/relationships/printerSettings" Target="../printerSettings/printerSettings46.bin"/><Relationship Id="rId17" Type="http://schemas.openxmlformats.org/officeDocument/2006/relationships/printerSettings" Target="../printerSettings/printerSettings51.bin"/><Relationship Id="rId25" Type="http://schemas.openxmlformats.org/officeDocument/2006/relationships/printerSettings" Target="../printerSettings/printerSettings59.bin"/><Relationship Id="rId2" Type="http://schemas.openxmlformats.org/officeDocument/2006/relationships/printerSettings" Target="../printerSettings/printerSettings36.bin"/><Relationship Id="rId16" Type="http://schemas.openxmlformats.org/officeDocument/2006/relationships/printerSettings" Target="../printerSettings/printerSettings50.bin"/><Relationship Id="rId20" Type="http://schemas.openxmlformats.org/officeDocument/2006/relationships/printerSettings" Target="../printerSettings/printerSettings54.bin"/><Relationship Id="rId29" Type="http://schemas.openxmlformats.org/officeDocument/2006/relationships/vmlDrawing" Target="../drawings/vmlDrawing8.vml"/><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11" Type="http://schemas.openxmlformats.org/officeDocument/2006/relationships/printerSettings" Target="../printerSettings/printerSettings45.bin"/><Relationship Id="rId24" Type="http://schemas.openxmlformats.org/officeDocument/2006/relationships/printerSettings" Target="../printerSettings/printerSettings58.bin"/><Relationship Id="rId5" Type="http://schemas.openxmlformats.org/officeDocument/2006/relationships/printerSettings" Target="../printerSettings/printerSettings39.bin"/><Relationship Id="rId15" Type="http://schemas.openxmlformats.org/officeDocument/2006/relationships/printerSettings" Target="../printerSettings/printerSettings49.bin"/><Relationship Id="rId23" Type="http://schemas.openxmlformats.org/officeDocument/2006/relationships/printerSettings" Target="../printerSettings/printerSettings57.bin"/><Relationship Id="rId28" Type="http://schemas.openxmlformats.org/officeDocument/2006/relationships/drawing" Target="../drawings/drawing8.xml"/><Relationship Id="rId10" Type="http://schemas.openxmlformats.org/officeDocument/2006/relationships/printerSettings" Target="../printerSettings/printerSettings44.bin"/><Relationship Id="rId19" Type="http://schemas.openxmlformats.org/officeDocument/2006/relationships/printerSettings" Target="../printerSettings/printerSettings53.bin"/><Relationship Id="rId4" Type="http://schemas.openxmlformats.org/officeDocument/2006/relationships/printerSettings" Target="../printerSettings/printerSettings38.bin"/><Relationship Id="rId9" Type="http://schemas.openxmlformats.org/officeDocument/2006/relationships/printerSettings" Target="../printerSettings/printerSettings43.bin"/><Relationship Id="rId14" Type="http://schemas.openxmlformats.org/officeDocument/2006/relationships/printerSettings" Target="../printerSettings/printerSettings48.bin"/><Relationship Id="rId22" Type="http://schemas.openxmlformats.org/officeDocument/2006/relationships/printerSettings" Target="../printerSettings/printerSettings56.bin"/><Relationship Id="rId27" Type="http://schemas.openxmlformats.org/officeDocument/2006/relationships/printerSettings" Target="../printerSettings/printerSettings61.bin"/><Relationship Id="rId30"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B1:E19"/>
  <sheetViews>
    <sheetView showGridLines="0" tabSelected="1" zoomScaleNormal="100" workbookViewId="0"/>
  </sheetViews>
  <sheetFormatPr defaultRowHeight="13.5"/>
  <cols>
    <col min="1" max="1" width="4.25" style="386" customWidth="1"/>
    <col min="2" max="2" width="24.375" style="386" customWidth="1"/>
    <col min="3" max="4" width="30.625" style="386" customWidth="1"/>
    <col min="5" max="16384" width="9" style="386"/>
  </cols>
  <sheetData>
    <row r="1" spans="2:5" s="384" customFormat="1">
      <c r="E1" s="385"/>
    </row>
    <row r="2" spans="2:5" s="384" customFormat="1" ht="48" customHeight="1">
      <c r="B2" s="395" t="s">
        <v>178</v>
      </c>
      <c r="E2" s="385"/>
    </row>
    <row r="5" spans="2:5" ht="17.25">
      <c r="B5" s="396" t="s">
        <v>73</v>
      </c>
      <c r="C5" s="397"/>
    </row>
    <row r="6" spans="2:5" ht="17.25">
      <c r="B6" s="396" t="s">
        <v>74</v>
      </c>
      <c r="C6" s="398"/>
    </row>
    <row r="7" spans="2:5" ht="17.25">
      <c r="B7" s="396" t="s">
        <v>75</v>
      </c>
      <c r="C7" s="398"/>
    </row>
    <row r="10" spans="2:5" ht="18" thickBot="1">
      <c r="B10" s="387" t="s">
        <v>78</v>
      </c>
      <c r="C10" s="388"/>
      <c r="D10" s="387"/>
    </row>
    <row r="11" spans="2:5">
      <c r="B11" s="389" t="s">
        <v>79</v>
      </c>
      <c r="C11" s="559" t="s">
        <v>81</v>
      </c>
      <c r="D11" s="560"/>
    </row>
    <row r="12" spans="2:5">
      <c r="B12" s="390" t="s">
        <v>80</v>
      </c>
      <c r="C12" s="561" t="s">
        <v>457</v>
      </c>
      <c r="D12" s="562"/>
    </row>
    <row r="13" spans="2:5" ht="14.25" thickBot="1">
      <c r="B13" s="391" t="s">
        <v>82</v>
      </c>
      <c r="C13" s="563" t="s">
        <v>457</v>
      </c>
      <c r="D13" s="564"/>
    </row>
    <row r="15" spans="2:5" s="384" customFormat="1" ht="14.25" thickBot="1"/>
    <row r="16" spans="2:5" ht="14.25" thickBot="1">
      <c r="B16" s="399" t="s">
        <v>76</v>
      </c>
      <c r="C16" s="565" t="s">
        <v>175</v>
      </c>
      <c r="D16" s="566"/>
    </row>
    <row r="17" spans="2:4" ht="14.25" thickTop="1">
      <c r="B17" s="392" t="s">
        <v>217</v>
      </c>
      <c r="C17" s="555" t="s">
        <v>176</v>
      </c>
      <c r="D17" s="556"/>
    </row>
    <row r="18" spans="2:4">
      <c r="B18" s="393" t="s">
        <v>351</v>
      </c>
      <c r="C18" s="567"/>
      <c r="D18" s="568"/>
    </row>
    <row r="19" spans="2:4" ht="14.25" thickBot="1">
      <c r="B19" s="394" t="s">
        <v>352</v>
      </c>
      <c r="C19" s="557"/>
      <c r="D19" s="558"/>
    </row>
  </sheetData>
  <mergeCells count="7">
    <mergeCell ref="C17:D17"/>
    <mergeCell ref="C19:D19"/>
    <mergeCell ref="C11:D11"/>
    <mergeCell ref="C12:D12"/>
    <mergeCell ref="C13:D13"/>
    <mergeCell ref="C16:D16"/>
    <mergeCell ref="C18:D18"/>
  </mergeCells>
  <phoneticPr fontId="4"/>
  <hyperlinks>
    <hyperlink ref="C17" location="マニュアル!A1" display="リンク"/>
  </hyperlinks>
  <pageMargins left="0.75" right="0.75" top="1" bottom="1" header="0.51200000000000001" footer="0.51200000000000001"/>
  <pageSetup paperSize="9" scale="69" orientation="portrait" horizontalDpi="300" verticalDpi="300" r:id="rId1"/>
  <headerFooter alignWithMargins="0"/>
  <drawing r:id="rId2"/>
  <legacyDrawing r:id="rId3"/>
  <controls>
    <mc:AlternateContent xmlns:mc="http://schemas.openxmlformats.org/markup-compatibility/2006">
      <mc:Choice Requires="x14">
        <control shapeId="759809" r:id="rId4" name="GetProjectNameButton">
          <controlPr defaultSize="0" print="0" autoFill="0" autoLine="0" r:id="rId5">
            <anchor moveWithCells="1">
              <from>
                <xdr:col>3</xdr:col>
                <xdr:colOff>28575</xdr:colOff>
                <xdr:row>3</xdr:row>
                <xdr:rowOff>152400</xdr:rowOff>
              </from>
              <to>
                <xdr:col>3</xdr:col>
                <xdr:colOff>1409700</xdr:colOff>
                <xdr:row>4</xdr:row>
                <xdr:rowOff>209550</xdr:rowOff>
              </to>
            </anchor>
          </controlPr>
        </control>
      </mc:Choice>
      <mc:Fallback>
        <control shapeId="759809" r:id="rId4" name="GetProjectName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3"/>
    <pageSetUpPr autoPageBreaks="0"/>
  </sheetPr>
  <dimension ref="B1:E15"/>
  <sheetViews>
    <sheetView showGridLines="0" zoomScaleNormal="100" workbookViewId="0"/>
  </sheetViews>
  <sheetFormatPr defaultRowHeight="13.5"/>
  <cols>
    <col min="1" max="2" width="2.625" style="379" customWidth="1"/>
    <col min="3" max="3" width="11.5" style="379" customWidth="1"/>
    <col min="4" max="35" width="8.625" style="379" customWidth="1"/>
    <col min="36" max="74" width="4.625" style="379" customWidth="1"/>
    <col min="75" max="16384" width="9" style="379"/>
  </cols>
  <sheetData>
    <row r="1" spans="2:5" ht="25.5">
      <c r="C1" s="380" t="s">
        <v>179</v>
      </c>
    </row>
    <row r="2" spans="2:5" ht="17.25">
      <c r="C2" s="381"/>
    </row>
    <row r="3" spans="2:5">
      <c r="B3" s="379" t="s">
        <v>125</v>
      </c>
    </row>
    <row r="4" spans="2:5">
      <c r="C4" s="379" t="s">
        <v>372</v>
      </c>
    </row>
    <row r="5" spans="2:5">
      <c r="C5" s="379" t="s">
        <v>373</v>
      </c>
    </row>
    <row r="7" spans="2:5">
      <c r="B7" s="382"/>
      <c r="E7" s="383"/>
    </row>
    <row r="8" spans="2:5">
      <c r="B8" s="379" t="s">
        <v>372</v>
      </c>
    </row>
    <row r="9" spans="2:5">
      <c r="C9" s="379" t="s">
        <v>126</v>
      </c>
    </row>
    <row r="10" spans="2:5">
      <c r="C10" s="379" t="s">
        <v>127</v>
      </c>
    </row>
    <row r="11" spans="2:5">
      <c r="C11" s="379" t="s">
        <v>128</v>
      </c>
    </row>
    <row r="12" spans="2:5">
      <c r="C12" s="378" t="s">
        <v>459</v>
      </c>
    </row>
    <row r="14" spans="2:5">
      <c r="B14" s="379" t="s">
        <v>373</v>
      </c>
    </row>
    <row r="15" spans="2:5">
      <c r="C15" s="379" t="s">
        <v>374</v>
      </c>
    </row>
  </sheetData>
  <phoneticPr fontId="4"/>
  <pageMargins left="0.75" right="0.75" top="1" bottom="1" header="0.51200000000000001" footer="0.51200000000000001"/>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pageSetUpPr autoPageBreaks="0" fitToPage="1"/>
  </sheetPr>
  <dimension ref="A1:AI22"/>
  <sheetViews>
    <sheetView showGridLines="0" zoomScaleNormal="100" workbookViewId="0"/>
  </sheetViews>
  <sheetFormatPr defaultRowHeight="13.5" outlineLevelCol="1"/>
  <cols>
    <col min="1" max="1" width="3.5" style="359" customWidth="1"/>
    <col min="2" max="2" width="11.625" style="359" customWidth="1"/>
    <col min="3" max="3" width="7.125" style="359" customWidth="1"/>
    <col min="4" max="4" width="8.75" style="359" customWidth="1"/>
    <col min="5" max="5" width="9.75" style="359" customWidth="1"/>
    <col min="6" max="6" width="7.75" style="359" customWidth="1"/>
    <col min="7" max="7" width="16" style="359" customWidth="1"/>
    <col min="8" max="8" width="20.5" style="359" customWidth="1"/>
    <col min="9" max="9" width="5.625" style="359" customWidth="1"/>
    <col min="10" max="10" width="10.375" style="359" customWidth="1"/>
    <col min="11" max="11" width="7.875" style="359" customWidth="1"/>
    <col min="12" max="12" width="7.625" style="359" customWidth="1"/>
    <col min="13" max="15" width="7.125" style="359" customWidth="1"/>
    <col min="16" max="16" width="6.625" style="359" customWidth="1"/>
    <col min="17" max="17" width="6.875" style="359" customWidth="1"/>
    <col min="18" max="18" width="6.5" style="359" customWidth="1"/>
    <col min="19" max="19" width="6" style="359" customWidth="1"/>
    <col min="20" max="20" width="5.625" style="359" customWidth="1" outlineLevel="1"/>
    <col min="21" max="21" width="5.5" style="359" customWidth="1" outlineLevel="1"/>
    <col min="22" max="22" width="6.5" style="359" customWidth="1" outlineLevel="1"/>
    <col min="23" max="26" width="5" style="359" customWidth="1" outlineLevel="1"/>
    <col min="27" max="33" width="8.625" style="359" customWidth="1" outlineLevel="1"/>
    <col min="34" max="16384" width="9" style="359"/>
  </cols>
  <sheetData>
    <row r="1" spans="1:35" ht="14.25" thickBot="1">
      <c r="R1" s="360"/>
    </row>
    <row r="2" spans="1:35">
      <c r="B2" s="361" t="s">
        <v>227</v>
      </c>
      <c r="C2" s="400">
        <f ca="1">SUM(T11:T12)</f>
        <v>0</v>
      </c>
      <c r="D2" s="362" t="s">
        <v>106</v>
      </c>
      <c r="E2" s="363"/>
      <c r="F2" s="364"/>
    </row>
    <row r="3" spans="1:35" ht="14.25" thickBot="1">
      <c r="B3" s="365" t="s">
        <v>193</v>
      </c>
      <c r="C3" s="401">
        <f ca="1">SUM(U11:U12)</f>
        <v>0</v>
      </c>
      <c r="D3" s="403">
        <f ca="1">COUNTIF(B11:B12,"未記入あり")</f>
        <v>0</v>
      </c>
      <c r="E3" s="363"/>
      <c r="F3" s="364"/>
    </row>
    <row r="4" spans="1:35" ht="14.25" thickBot="1">
      <c r="B4" s="365" t="s">
        <v>64</v>
      </c>
      <c r="C4" s="401">
        <f ca="1">SUM(X11:X12)</f>
        <v>0</v>
      </c>
      <c r="F4" s="366"/>
      <c r="G4" s="359" t="s">
        <v>15</v>
      </c>
    </row>
    <row r="5" spans="1:35" ht="14.25" thickBot="1">
      <c r="B5" s="365" t="s">
        <v>47</v>
      </c>
      <c r="C5" s="401">
        <f ca="1">SUM(W11:W12)</f>
        <v>0</v>
      </c>
      <c r="F5" s="367"/>
      <c r="G5" s="359" t="s">
        <v>25</v>
      </c>
    </row>
    <row r="6" spans="1:35" ht="14.25" thickBot="1">
      <c r="B6" s="365" t="s">
        <v>27</v>
      </c>
      <c r="C6" s="401">
        <f ca="1">SUM(V11:V12)</f>
        <v>0</v>
      </c>
      <c r="F6" s="368"/>
      <c r="G6" s="359" t="s">
        <v>149</v>
      </c>
    </row>
    <row r="7" spans="1:35" ht="14.25" thickBot="1">
      <c r="B7" s="369" t="s">
        <v>387</v>
      </c>
      <c r="C7" s="402">
        <f ca="1">SUM(Z11:Z12)</f>
        <v>0</v>
      </c>
      <c r="F7" s="364"/>
      <c r="G7" s="370"/>
      <c r="H7" s="364"/>
    </row>
    <row r="8" spans="1:35" ht="14.25" thickBot="1">
      <c r="D8" s="364"/>
      <c r="E8" s="371"/>
      <c r="F8" s="364"/>
      <c r="G8" s="370"/>
      <c r="H8" s="364"/>
      <c r="N8" s="372"/>
      <c r="O8" s="372"/>
      <c r="P8" s="372"/>
      <c r="R8" s="372"/>
      <c r="S8" s="372"/>
    </row>
    <row r="9" spans="1:35" ht="14.25" thickBot="1">
      <c r="B9" s="569" t="s">
        <v>200</v>
      </c>
      <c r="C9" s="570"/>
      <c r="D9" s="570"/>
      <c r="E9" s="570"/>
      <c r="F9" s="570"/>
      <c r="G9" s="570"/>
      <c r="H9" s="570"/>
      <c r="I9" s="570"/>
      <c r="J9" s="570"/>
      <c r="K9" s="570"/>
      <c r="L9" s="570"/>
      <c r="M9" s="570"/>
      <c r="N9" s="570"/>
      <c r="O9" s="570"/>
      <c r="P9" s="570"/>
      <c r="Q9" s="571"/>
      <c r="R9" s="572" t="s">
        <v>228</v>
      </c>
      <c r="S9" s="573"/>
      <c r="T9" s="573"/>
      <c r="U9" s="573"/>
      <c r="V9" s="573"/>
      <c r="W9" s="573"/>
      <c r="X9" s="573"/>
      <c r="Y9" s="573"/>
      <c r="Z9" s="574"/>
      <c r="AA9" s="575" t="s">
        <v>415</v>
      </c>
      <c r="AB9" s="576"/>
      <c r="AC9" s="576"/>
      <c r="AD9" s="576"/>
      <c r="AE9" s="576"/>
      <c r="AF9" s="576"/>
      <c r="AG9" s="577"/>
    </row>
    <row r="10" spans="1:35" ht="42.75" customHeight="1">
      <c r="B10" s="346" t="s">
        <v>171</v>
      </c>
      <c r="C10" s="347" t="s">
        <v>172</v>
      </c>
      <c r="D10" s="348" t="s">
        <v>173</v>
      </c>
      <c r="E10" s="348" t="s">
        <v>152</v>
      </c>
      <c r="F10" s="349" t="s">
        <v>199</v>
      </c>
      <c r="G10" s="349" t="s">
        <v>31</v>
      </c>
      <c r="H10" s="349" t="s">
        <v>48</v>
      </c>
      <c r="I10" s="347" t="s">
        <v>49</v>
      </c>
      <c r="J10" s="348" t="s">
        <v>86</v>
      </c>
      <c r="K10" s="347" t="s">
        <v>55</v>
      </c>
      <c r="L10" s="350" t="s">
        <v>87</v>
      </c>
      <c r="M10" s="351" t="s">
        <v>88</v>
      </c>
      <c r="N10" s="350" t="s">
        <v>90</v>
      </c>
      <c r="O10" s="351" t="s">
        <v>89</v>
      </c>
      <c r="P10" s="350" t="s">
        <v>98</v>
      </c>
      <c r="Q10" s="352" t="s">
        <v>99</v>
      </c>
      <c r="R10" s="353" t="s">
        <v>95</v>
      </c>
      <c r="S10" s="350" t="s">
        <v>96</v>
      </c>
      <c r="T10" s="354" t="s">
        <v>229</v>
      </c>
      <c r="U10" s="352" t="s">
        <v>192</v>
      </c>
      <c r="V10" s="352" t="s">
        <v>56</v>
      </c>
      <c r="W10" s="352" t="s">
        <v>65</v>
      </c>
      <c r="X10" s="352" t="s">
        <v>14</v>
      </c>
      <c r="Y10" s="352" t="s">
        <v>386</v>
      </c>
      <c r="Z10" s="355" t="s">
        <v>387</v>
      </c>
      <c r="AA10" s="356" t="s">
        <v>416</v>
      </c>
      <c r="AB10" s="357" t="s">
        <v>417</v>
      </c>
      <c r="AC10" s="357" t="s">
        <v>418</v>
      </c>
      <c r="AD10" s="357" t="s">
        <v>419</v>
      </c>
      <c r="AE10" s="357" t="s">
        <v>420</v>
      </c>
      <c r="AF10" s="357" t="s">
        <v>421</v>
      </c>
      <c r="AG10" s="358" t="s">
        <v>422</v>
      </c>
      <c r="AI10" s="359" t="s">
        <v>561</v>
      </c>
    </row>
    <row r="11" spans="1:35" s="372" customFormat="1">
      <c r="A11" s="359"/>
      <c r="B11" s="404" t="str">
        <f ca="1">IF(I11&lt;&gt;"○","対象外",'記録#1'!記録_ステータス)</f>
        <v>未計画</v>
      </c>
      <c r="C11" s="405">
        <v>1</v>
      </c>
      <c r="D11" s="406" t="str">
        <f>CONCATENATE("記録","#",C11)</f>
        <v>記録#1</v>
      </c>
      <c r="E11" s="407"/>
      <c r="F11" s="408"/>
      <c r="G11" s="373"/>
      <c r="H11" s="374"/>
      <c r="I11" s="414" t="s">
        <v>92</v>
      </c>
      <c r="J11" s="475"/>
      <c r="K11" s="414"/>
      <c r="L11" s="415">
        <f>'記録#1'!R5</f>
        <v>0</v>
      </c>
      <c r="M11" s="415">
        <f>'記録#1'!S5</f>
        <v>0</v>
      </c>
      <c r="N11" s="415">
        <f>'記録#1'!R6</f>
        <v>0</v>
      </c>
      <c r="O11" s="415">
        <f>'記録#1'!S6</f>
        <v>0</v>
      </c>
      <c r="P11" s="416">
        <f>'記録#1'!R4</f>
        <v>0</v>
      </c>
      <c r="Q11" s="417">
        <f>'記録#1'!S4</f>
        <v>0</v>
      </c>
      <c r="R11" s="420"/>
      <c r="S11" s="416">
        <f>'記録#1'!R7</f>
        <v>0</v>
      </c>
      <c r="T11" s="421">
        <f>'記録#1'!H3</f>
        <v>0</v>
      </c>
      <c r="U11" s="422">
        <f>'記録#1'!H4</f>
        <v>0</v>
      </c>
      <c r="V11" s="422">
        <f>'記録#1'!J4</f>
        <v>0</v>
      </c>
      <c r="W11" s="422">
        <f>'記録#1'!J5</f>
        <v>0</v>
      </c>
      <c r="X11" s="422">
        <f>'記録#1'!J6</f>
        <v>0</v>
      </c>
      <c r="Y11" s="422" t="str">
        <f>'記録#1'!$J$7</f>
        <v>無</v>
      </c>
      <c r="Z11" s="401">
        <f>'記録#1'!H5</f>
        <v>0</v>
      </c>
      <c r="AA11" s="423">
        <f>'記録#1'!N3</f>
        <v>1</v>
      </c>
      <c r="AB11" s="424">
        <f ca="1">'記録#1'!N4</f>
        <v>0</v>
      </c>
      <c r="AC11" s="424">
        <f>'記録#1'!N5</f>
        <v>0</v>
      </c>
      <c r="AD11" s="424">
        <f>'記録#1'!P3</f>
        <v>0</v>
      </c>
      <c r="AE11" s="424">
        <f>'記録#1'!P4</f>
        <v>0</v>
      </c>
      <c r="AF11" s="424">
        <f ca="1">'記録#1'!P5</f>
        <v>0</v>
      </c>
      <c r="AG11" s="401">
        <f>'記録#1'!P6</f>
        <v>0</v>
      </c>
      <c r="AI11" s="372">
        <f>'記録#1'!V4</f>
        <v>0</v>
      </c>
    </row>
    <row r="12" spans="1:35" ht="14.25" thickBot="1">
      <c r="B12" s="409" t="e">
        <f ca="1">IF(I12&lt;&gt;"○","対象外",INDIRECT(CONCATENATE("'記録","#",C12,"'!記録_ステータス")))</f>
        <v>#REF!</v>
      </c>
      <c r="C12" s="410">
        <f>$C$11+ROW()-11</f>
        <v>2</v>
      </c>
      <c r="D12" s="411" t="str">
        <f>CONCATENATE("記録","#",C12)</f>
        <v>記録#2</v>
      </c>
      <c r="E12" s="412"/>
      <c r="F12" s="413"/>
      <c r="G12" s="375"/>
      <c r="H12" s="375"/>
      <c r="I12" s="410" t="s">
        <v>92</v>
      </c>
      <c r="J12" s="476"/>
      <c r="K12" s="410"/>
      <c r="L12" s="412" t="str">
        <f ca="1">IF(ISERROR(B12)=TRUE,"",INDIRECT(CONCATENATE("'記録","#",$C12,"'!$R$5")))</f>
        <v/>
      </c>
      <c r="M12" s="412" t="str">
        <f ca="1">IF(ISERROR(B12)=TRUE,"",INDIRECT(CONCATENATE("'記録","#",$C12,"'!$S$5")))</f>
        <v/>
      </c>
      <c r="N12" s="412" t="str">
        <f ca="1">IF(ISERROR(B12)=TRUE,"",INDIRECT(CONCATENATE("'記録","#",$C12,"'!$R$6")))</f>
        <v/>
      </c>
      <c r="O12" s="412" t="str">
        <f ca="1">IF(ISERROR(B12)=TRUE,"",INDIRECT(CONCATENATE("'記録","#",$C12,"'!S$6")))</f>
        <v/>
      </c>
      <c r="P12" s="418" t="str">
        <f ca="1">IF(ISERROR(B12)=TRUE,"",INDIRECT(CONCATENATE("'記録","#",$C12,"'!R$4")))</f>
        <v/>
      </c>
      <c r="Q12" s="419" t="str">
        <f ca="1">IF(ISERROR(B12)=TRUE,"",INDIRECT(CONCATENATE("'記録","#",$C12,"'!S$4")))</f>
        <v/>
      </c>
      <c r="R12" s="409"/>
      <c r="S12" s="418" t="str">
        <f ca="1">IF(ISERROR(B12)=TRUE,"",INDIRECT(CONCATENATE("'記録","#",$C12,"'!R$7")))</f>
        <v/>
      </c>
      <c r="T12" s="425" t="str">
        <f ca="1">IF(ISERROR($B12)=TRUE,"",INDIRECT(CONCATENATE("'記録","#",C12,"'!$H$3")))</f>
        <v/>
      </c>
      <c r="U12" s="419" t="str">
        <f ca="1">IF(ISERROR(B12)=TRUE,"",INDIRECT(CONCATENATE("'記録","#",C12,"'!$H$4")))</f>
        <v/>
      </c>
      <c r="V12" s="419" t="str">
        <f ca="1">IF(ISERROR(B12)=TRUE,"",INDIRECT(CONCATENATE("'記録","#",C12,"'!$J$4")))</f>
        <v/>
      </c>
      <c r="W12" s="419" t="str">
        <f ca="1">IF(ISERROR(B12)=TRUE,"",INDIRECT(CONCATENATE("'記録","#",C12,"'!$J$5")))</f>
        <v/>
      </c>
      <c r="X12" s="419" t="str">
        <f ca="1">IF(ISERROR(B12)=TRUE,"",INDIRECT(CONCATENATE("'記録","#",C12,"'!$J$6")))</f>
        <v/>
      </c>
      <c r="Y12" s="419" t="str">
        <f ca="1">IF(ISERROR(B12)=TRUE,"",INDIRECT(CONCATENATE("'記録","#",C12,"'!$J$7")))</f>
        <v/>
      </c>
      <c r="Z12" s="426" t="str">
        <f ca="1">IF(ISERROR(B12)=TRUE,"",INDIRECT(CONCATENATE("'記録","#",C12,"'!$H$5")))</f>
        <v/>
      </c>
      <c r="AA12" s="427" t="str">
        <f ca="1">IF(ISERROR(B12)=TRUE,"",INDIRECT(CONCATENATE("'記録","#",C12,"'!$N$3")))</f>
        <v/>
      </c>
      <c r="AB12" s="418" t="str">
        <f ca="1">IF(ISERROR(B12)=TRUE,"",INDIRECT(CONCATENATE("'記録","#",C12,"'!$N$4")))</f>
        <v/>
      </c>
      <c r="AC12" s="418" t="str">
        <f ca="1">IF(ISERROR(B12)=TRUE,"",INDIRECT(CONCATENATE("'記録","#",C12,"'!$N$5")))</f>
        <v/>
      </c>
      <c r="AD12" s="418" t="str">
        <f ca="1">IF(ISERROR(B12)=TRUE,"",INDIRECT(CONCATENATE("'記録","#",C12,"'!$P$3")))</f>
        <v/>
      </c>
      <c r="AE12" s="418" t="str">
        <f ca="1">IF(ISERROR(B12)=TRUE,"",INDIRECT(CONCATENATE("'記録","#",C12,"'!$P$4")))</f>
        <v/>
      </c>
      <c r="AF12" s="418" t="str">
        <f ca="1">IF(ISERROR(B12)=TRUE,"",INDIRECT(CONCATENATE("'記録","#",C12,"'!$P$5")))</f>
        <v/>
      </c>
      <c r="AG12" s="426" t="str">
        <f ca="1">IF(ISERROR(B12)=TRUE,"",INDIRECT(CONCATENATE("'記録","#",C12,"'!$P$6")))</f>
        <v/>
      </c>
      <c r="AI12" s="359" t="str">
        <f ca="1">IF(ISERROR(B12)=TRUE,"",INDIRECT(CONCATENATE("'記録","#",$C12,"'!V$4")))</f>
        <v/>
      </c>
    </row>
    <row r="13" spans="1:35" ht="21.75" customHeight="1">
      <c r="C13" s="376"/>
      <c r="D13" s="376"/>
      <c r="E13" s="376"/>
      <c r="F13" s="376"/>
      <c r="G13" s="376"/>
      <c r="H13" s="376"/>
      <c r="I13" s="376"/>
      <c r="J13" s="376"/>
      <c r="K13" s="364"/>
      <c r="L13" s="376"/>
      <c r="M13" s="376"/>
      <c r="N13" s="376"/>
      <c r="O13" s="376"/>
      <c r="P13" s="364"/>
      <c r="Q13" s="364"/>
      <c r="R13" s="364"/>
      <c r="S13" s="364"/>
      <c r="T13" s="364"/>
      <c r="U13" s="364"/>
      <c r="V13" s="364"/>
      <c r="W13" s="364"/>
      <c r="X13" s="364"/>
      <c r="Y13" s="364"/>
    </row>
    <row r="22" spans="7:7">
      <c r="G22" s="377"/>
    </row>
  </sheetData>
  <sheetProtection formatCells="0" formatColumns="0" formatRows="0" insertColumns="0" insertRows="0" insertHyperlinks="0" deleteColumns="0" deleteRows="0" autoFilter="0"/>
  <customSheetViews>
    <customSheetView guid="{208C4BE9-EB13-412E-87DB-6F6EF676AC78}" scale="85" showGridLines="0" fitToPage="1" showRuler="0">
      <selection activeCell="A35" sqref="A35"/>
      <pageMargins left="0.75" right="0.75" top="1" bottom="1" header="0.51200000000000001" footer="0.51200000000000001"/>
      <pageSetup paperSize="9" scale="84" orientation="landscape" r:id="rId1"/>
      <headerFooter alignWithMargins="0"/>
    </customSheetView>
    <customSheetView guid="{C9D3707F-798B-426C-ADC6-D6DA36DBAE0D}" showGridLines="0" fitToPage="1" showRuler="0" topLeftCell="CL19">
      <selection activeCell="CX39" sqref="CX39"/>
      <pageMargins left="0.75" right="0.75" top="1" bottom="1" header="0.51200000000000001" footer="0.51200000000000001"/>
      <pageSetup paperSize="9" scale="84" orientation="landscape" r:id="rId2"/>
      <headerFooter alignWithMargins="0"/>
    </customSheetView>
    <customSheetView guid="{F350A607-7567-472C-83DF-0C5EF1701BCB}" scale="75" showGridLines="0" fitToPage="1" showAutoFilter="1" showRuler="0" topLeftCell="A25">
      <selection activeCell="C39" sqref="C39"/>
      <pageMargins left="0.75" right="0.75" top="1" bottom="1" header="0.51200000000000001" footer="0.51200000000000001"/>
      <pageSetup paperSize="9" scale="84" orientation="landscape" r:id="rId3"/>
      <headerFooter alignWithMargins="0"/>
      <autoFilter ref="B1:FS1"/>
    </customSheetView>
    <customSheetView guid="{9A298510-BEA3-4CBD-B3A4-C8015D814BFE}" scale="85" showGridLines="0" fitToPage="1" showRuler="0" topLeftCell="A16">
      <selection activeCell="C39" sqref="C39"/>
      <pageMargins left="0.75" right="0.75" top="1" bottom="1" header="0.51200000000000001" footer="0.51200000000000001"/>
      <pageSetup paperSize="9" scale="84" orientation="landscape" r:id="rId4"/>
      <headerFooter alignWithMargins="0"/>
    </customSheetView>
    <customSheetView guid="{0B0C28B3-CAE7-466F-B847-0E084213D52D}" scale="85" showPageBreaks="1" showGridLines="0" fitToPage="1" showRuler="0">
      <selection activeCell="H20" sqref="H20"/>
      <pageMargins left="0.75" right="0.75" top="1" bottom="1" header="0.51200000000000001" footer="0.51200000000000001"/>
      <pageSetup paperSize="9" scale="11" orientation="landscape" r:id="rId5"/>
      <headerFooter alignWithMargins="0"/>
    </customSheetView>
    <customSheetView guid="{B00E6704-ADFE-4AE4-BE35-1CFBFA5415F2}" scale="85" showGridLines="0" fitToPage="1" showRuler="0" topLeftCell="A13">
      <selection activeCell="C42" sqref="C42"/>
      <pageMargins left="0.75" right="0.75" top="1" bottom="1" header="0.51200000000000001" footer="0.51200000000000001"/>
      <pageSetup paperSize="9" scale="84" orientation="landscape" r:id="rId6"/>
      <headerFooter alignWithMargins="0"/>
    </customSheetView>
    <customSheetView guid="{EADB27D0-557C-4F7A-AAD5-53A1ADAFF5E2}" scale="85" showGridLines="0" fitToPage="1" showRuler="0" topLeftCell="A13">
      <selection activeCell="C42" sqref="C42"/>
      <pageMargins left="0.75" right="0.75" top="1" bottom="1" header="0.51200000000000001" footer="0.51200000000000001"/>
      <pageSetup paperSize="9" scale="84" orientation="landscape" r:id="rId7"/>
      <headerFooter alignWithMargins="0"/>
    </customSheetView>
    <customSheetView guid="{304AF253-2D3E-4834-B2BE-2B013C01C317}" scale="85" showGridLines="0" fitToPage="1" showRuler="0" topLeftCell="A7">
      <selection activeCell="C38" sqref="C38"/>
      <pageMargins left="0.75" right="0.75" top="1" bottom="1" header="0.51200000000000001" footer="0.51200000000000001"/>
      <pageSetup paperSize="9" scale="84" orientation="landscape" r:id="rId8"/>
      <headerFooter alignWithMargins="0"/>
    </customSheetView>
    <customSheetView guid="{2DFF15CA-CB1B-47C9-95D8-3F2C08492AA3}" scale="85" showGridLines="0" fitToPage="1" showRuler="0">
      <pageMargins left="0.75" right="0.75" top="1" bottom="1" header="0.51200000000000001" footer="0.51200000000000001"/>
      <pageSetup paperSize="9" scale="84" orientation="landscape" r:id="rId9"/>
      <headerFooter alignWithMargins="0"/>
    </customSheetView>
    <customSheetView guid="{15443C2D-82C1-4588-8195-8BD954D3C498}" scale="85" showGridLines="0" fitToPage="1" showRuler="0" topLeftCell="A7">
      <selection activeCell="C38" sqref="C38"/>
      <pageMargins left="0.75" right="0.75" top="1" bottom="1" header="0.51200000000000001" footer="0.51200000000000001"/>
      <pageSetup paperSize="9" scale="84" orientation="landscape" r:id="rId10"/>
      <headerFooter alignWithMargins="0"/>
    </customSheetView>
    <customSheetView guid="{9380E699-E27C-4311-8B8B-52DCF8894965}" scale="85" fitToPage="1" hiddenColumns="1" showRuler="0" topLeftCell="A24">
      <selection activeCell="C27" sqref="C27"/>
      <pageMargins left="0.75" right="0.75" top="1" bottom="1" header="0.51200000000000001" footer="0.51200000000000001"/>
      <pageSetup paperSize="9" scale="84" orientation="landscape" r:id="rId11"/>
      <headerFooter alignWithMargins="0"/>
    </customSheetView>
    <customSheetView guid="{01D327F4-417E-44F7-B6A4-710876626408}" scale="85" fitToPage="1" hiddenColumns="1" showRuler="0" topLeftCell="P15">
      <selection activeCell="X41" sqref="X41"/>
      <pageMargins left="0.75" right="0.75" top="1" bottom="1" header="0.51200000000000001" footer="0.51200000000000001"/>
      <pageSetup paperSize="9" scale="84" orientation="landscape" r:id="rId12"/>
      <headerFooter alignWithMargins="0"/>
    </customSheetView>
    <customSheetView guid="{5422F15B-159A-41D9-916F-36400AB3DE42}" scale="85" fitToPage="1" hiddenColumns="1" showRuler="0" topLeftCell="A19">
      <selection activeCell="A25" sqref="A25"/>
      <pageMargins left="0.75" right="0.75" top="1" bottom="1" header="0.51200000000000001" footer="0.51200000000000001"/>
      <pageSetup paperSize="9" scale="84" orientation="landscape" r:id="rId13"/>
      <headerFooter alignWithMargins="0"/>
    </customSheetView>
    <customSheetView guid="{421CB3D9-2E9C-4AEA-B7B0-464183A0C67A}" scale="85" showGridLines="0" fitToPage="1" showRuler="0">
      <pageMargins left="0.75" right="0.75" top="1" bottom="1" header="0.51200000000000001" footer="0.51200000000000001"/>
      <pageSetup paperSize="9" scale="84" orientation="landscape" r:id="rId14"/>
      <headerFooter alignWithMargins="0"/>
    </customSheetView>
    <customSheetView guid="{767C11D7-A267-4096-876E-1FBA40EE3D8B}" scale="85" showPageBreaks="1" showGridLines="0" fitToPage="1" showRuler="0" topLeftCell="D19">
      <selection activeCell="C28" sqref="C28"/>
      <pageMargins left="0.75" right="0.75" top="1" bottom="1" header="0.51200000000000001" footer="0.51200000000000001"/>
      <pageSetup paperSize="9" scale="13" orientation="landscape" r:id="rId15"/>
      <headerFooter alignWithMargins="0"/>
    </customSheetView>
    <customSheetView guid="{1A53274C-F912-48F6-993C-CE18D78A77D0}" scale="85" showGridLines="0" fitToPage="1" showRuler="0">
      <pageMargins left="0.75" right="0.75" top="1" bottom="1" header="0.51200000000000001" footer="0.51200000000000001"/>
      <pageSetup paperSize="9" scale="84" orientation="landscape" r:id="rId16"/>
      <headerFooter alignWithMargins="0"/>
    </customSheetView>
    <customSheetView guid="{E7DAB086-C13D-4DC1-A526-2BC54D284F02}" scale="85" showGridLines="0" fitToPage="1" showRuler="0" topLeftCell="A13">
      <selection activeCell="C42" sqref="C42"/>
      <pageMargins left="0.75" right="0.75" top="1" bottom="1" header="0.51200000000000001" footer="0.51200000000000001"/>
      <pageSetup paperSize="9" scale="84" orientation="landscape" r:id="rId17"/>
      <headerFooter alignWithMargins="0"/>
    </customSheetView>
    <customSheetView guid="{1709BFE4-3254-45B4-AFD2-AF4591A7B2EA}" scale="85" showGridLines="0" fitToPage="1" showRuler="0" topLeftCell="A13">
      <selection activeCell="C42" sqref="C42"/>
      <pageMargins left="0.75" right="0.75" top="1" bottom="1" header="0.51200000000000001" footer="0.51200000000000001"/>
      <pageSetup paperSize="9" scale="84" orientation="landscape" r:id="rId18"/>
      <headerFooter alignWithMargins="0"/>
    </customSheetView>
    <customSheetView guid="{FAE5C15D-C24D-4CEF-ABCC-FA08B47BE446}" scale="85" showGridLines="0" fitToPage="1" showRuler="0">
      <pageMargins left="0.75" right="0.75" top="1" bottom="1" header="0.51200000000000001" footer="0.51200000000000001"/>
      <pageSetup paperSize="9" scale="84" orientation="landscape" r:id="rId19"/>
      <headerFooter alignWithMargins="0"/>
    </customSheetView>
    <customSheetView guid="{EAA90FA2-4FFA-41CF-9E77-6C997802DE9C}" scale="85" showGridLines="0" fitToPage="1" showRuler="0" topLeftCell="AF11">
      <selection activeCell="AT30" sqref="AT30"/>
      <pageMargins left="0.75" right="0.75" top="1" bottom="1" header="0.51200000000000001" footer="0.51200000000000001"/>
      <pageSetup paperSize="9" scale="84" orientation="landscape" r:id="rId20"/>
      <headerFooter alignWithMargins="0"/>
    </customSheetView>
    <customSheetView guid="{0A72D81E-05E6-4579-813E-A576F86B9BF5}" scale="85" showGridLines="0" fitToPage="1" showRuler="0">
      <selection activeCell="H21" sqref="H21"/>
      <pageMargins left="0.75" right="0.75" top="1" bottom="1" header="0.51200000000000001" footer="0.51200000000000001"/>
      <pageSetup paperSize="9" scale="84" orientation="landscape" r:id="rId21"/>
      <headerFooter alignWithMargins="0"/>
    </customSheetView>
    <customSheetView guid="{50634D19-0161-4F5A-B253-23B6BCEA81D9}" scale="85" showGridLines="0" fitToPage="1" showRuler="0" topLeftCell="A13">
      <selection activeCell="C39" sqref="C39"/>
      <pageMargins left="0.75" right="0.75" top="1" bottom="1" header="0.51200000000000001" footer="0.51200000000000001"/>
      <pageSetup paperSize="9" scale="84" orientation="landscape" r:id="rId22"/>
      <headerFooter alignWithMargins="0"/>
    </customSheetView>
    <customSheetView guid="{F0A19407-52E0-4A95-842A-5C1F5F980D30}" scale="75" showGridLines="0" fitToPage="1" showAutoFilter="1" showRuler="0" topLeftCell="A25">
      <selection activeCell="C39" sqref="C39"/>
      <pageMargins left="0.75" right="0.75" top="1" bottom="1" header="0.51200000000000001" footer="0.51200000000000001"/>
      <pageSetup paperSize="9" scale="84" orientation="landscape" r:id="rId23"/>
      <headerFooter alignWithMargins="0"/>
      <autoFilter ref="B1"/>
    </customSheetView>
    <customSheetView guid="{C38B0056-DCFC-4A2A-9719-931C5C91C0B3}" scale="75" showGridLines="0" fitToPage="1" showRuler="0" topLeftCell="I1">
      <selection activeCell="Q27" sqref="Q27"/>
      <pageMargins left="0.75" right="0.75" top="1" bottom="1" header="0.51200000000000001" footer="0.51200000000000001"/>
      <pageSetup paperSize="9" scale="84" orientation="landscape" r:id="rId24"/>
      <headerFooter alignWithMargins="0"/>
    </customSheetView>
    <customSheetView guid="{E4F2B051-A5A3-433E-BCB0-1B4BD7617880}" scale="70" showGridLines="0" fitToPage="1" showRuler="0">
      <pane xSplit="8" ySplit="28" topLeftCell="I29" activePane="bottomRight" state="frozen"/>
      <selection pane="bottomRight" activeCell="C31" sqref="C31"/>
      <pageMargins left="0.75" right="0.75" top="1" bottom="1" header="0.51200000000000001" footer="0.51200000000000001"/>
      <pageSetup paperSize="9" scale="84" orientation="landscape" r:id="rId25"/>
      <headerFooter alignWithMargins="0"/>
    </customSheetView>
    <customSheetView guid="{D7AEA922-4F68-4E62-BF47-C14EFC12E7DC}" scale="85" showGridLines="0" fitToPage="1" showRuler="0">
      <selection activeCell="C28" sqref="C28"/>
      <pageMargins left="0.75" right="0.75" top="1" bottom="1" header="0.51200000000000001" footer="0.51200000000000001"/>
      <pageSetup paperSize="9" scale="84" orientation="landscape" r:id="rId26"/>
      <headerFooter alignWithMargins="0"/>
    </customSheetView>
  </customSheetViews>
  <mergeCells count="3">
    <mergeCell ref="B9:Q9"/>
    <mergeCell ref="R9:Z9"/>
    <mergeCell ref="AA9:AG9"/>
  </mergeCells>
  <phoneticPr fontId="4"/>
  <conditionalFormatting sqref="J11">
    <cfRule type="expression" dxfId="110" priority="9" stopIfTrue="1">
      <formula>$I11&lt;&gt;"○"</formula>
    </cfRule>
    <cfRule type="expression" dxfId="109" priority="10" stopIfTrue="1">
      <formula>$J11=""</formula>
    </cfRule>
  </conditionalFormatting>
  <conditionalFormatting sqref="K11:AG11">
    <cfRule type="expression" dxfId="108" priority="11" stopIfTrue="1">
      <formula>$I11&lt;&gt;"○"</formula>
    </cfRule>
  </conditionalFormatting>
  <conditionalFormatting sqref="H11">
    <cfRule type="expression" dxfId="107" priority="12" stopIfTrue="1">
      <formula>AND($G11&lt;&gt;"",$H11="")</formula>
    </cfRule>
  </conditionalFormatting>
  <conditionalFormatting sqref="G11">
    <cfRule type="expression" dxfId="106" priority="13" stopIfTrue="1">
      <formula>G11=""</formula>
    </cfRule>
  </conditionalFormatting>
  <conditionalFormatting sqref="AA11:AG12">
    <cfRule type="cellIs" dxfId="105" priority="1" operator="greaterThan">
      <formula>0</formula>
    </cfRule>
  </conditionalFormatting>
  <dataValidations xWindow="965" yWindow="239" count="6">
    <dataValidation type="textLength" operator="equal" allowBlank="1" showInputMessage="1" showErrorMessage="1" errorTitle="この行には入力しないでください！" error="この行には入力しないでください！_x000a_追加ボタンにて新規追加してください。" promptTitle="この行には入力しないでください" prompt="追加ボタンにて新規追加してください。_x000a_シートが生成されます。" sqref="K12 D12:E12 G12:I12 R12">
      <formula1>0</formula1>
    </dataValidation>
    <dataValidation type="list" allowBlank="1" showInputMessage="1" sqref="K11">
      <formula1>メンバー</formula1>
    </dataValidation>
    <dataValidation type="list" allowBlank="1" showInputMessage="1" showErrorMessage="1" sqref="I11">
      <formula1>"○,－,×"</formula1>
    </dataValidation>
    <dataValidation type="list" allowBlank="1" showInputMessage="1" sqref="G11">
      <formula1>工程定義</formula1>
    </dataValidation>
    <dataValidation type="list" allowBlank="1" showInputMessage="1" sqref="E11">
      <formula1>機能</formula1>
    </dataValidation>
    <dataValidation type="list" allowBlank="1" showInputMessage="1" sqref="F11:F12">
      <formula1>"－"</formula1>
    </dataValidation>
  </dataValidations>
  <hyperlinks>
    <hyperlink ref="D11" location="'記録#1'!A1" display="'記録#1'!A1"/>
  </hyperlinks>
  <pageMargins left="0.75" right="0.75" top="1" bottom="1" header="0.51200000000000001" footer="0.51200000000000001"/>
  <pageSetup paperSize="9" scale="84" orientation="landscape" r:id="rId27"/>
  <headerFooter alignWithMargins="0"/>
  <drawing r:id="rId28"/>
  <legacyDrawing r:id="rId29"/>
  <mc:AlternateContent xmlns:mc="http://schemas.openxmlformats.org/markup-compatibility/2006">
    <mc:Choice Requires="x14">
      <controls>
        <mc:AlternateContent xmlns:mc="http://schemas.openxmlformats.org/markup-compatibility/2006">
          <mc:Choice Requires="x14">
            <control shapeId="2053" r:id="rId30" name="Button 5">
              <controlPr defaultSize="0" print="0" autoFill="0" autoPict="0" macro="[0]!AddNewLine_management">
                <anchor moveWithCells="1">
                  <from>
                    <xdr:col>1</xdr:col>
                    <xdr:colOff>19050</xdr:colOff>
                    <xdr:row>12</xdr:row>
                    <xdr:rowOff>19050</xdr:rowOff>
                  </from>
                  <to>
                    <xdr:col>1</xdr:col>
                    <xdr:colOff>733425</xdr:colOff>
                    <xdr:row>12</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sheetPr>
  <dimension ref="A1:E20"/>
  <sheetViews>
    <sheetView zoomScaleNormal="100" workbookViewId="0"/>
  </sheetViews>
  <sheetFormatPr defaultRowHeight="13.5"/>
  <cols>
    <col min="1" max="3" width="3.5" customWidth="1"/>
    <col min="4" max="4" width="26.375" customWidth="1"/>
    <col min="5" max="5" width="19.375" bestFit="1" customWidth="1"/>
  </cols>
  <sheetData>
    <row r="1" spans="1:5">
      <c r="A1" t="s">
        <v>569</v>
      </c>
    </row>
    <row r="2" spans="1:5">
      <c r="B2" t="s">
        <v>570</v>
      </c>
    </row>
    <row r="3" spans="1:5">
      <c r="C3" t="s">
        <v>573</v>
      </c>
    </row>
    <row r="4" spans="1:5">
      <c r="C4" t="s">
        <v>574</v>
      </c>
    </row>
    <row r="6" spans="1:5">
      <c r="B6" t="s">
        <v>571</v>
      </c>
    </row>
    <row r="7" spans="1:5">
      <c r="C7" t="s">
        <v>575</v>
      </c>
    </row>
    <row r="9" spans="1:5">
      <c r="C9" t="s">
        <v>572</v>
      </c>
    </row>
    <row r="10" spans="1:5">
      <c r="D10" s="554" t="s">
        <v>52</v>
      </c>
      <c r="E10" s="554" t="s">
        <v>590</v>
      </c>
    </row>
    <row r="11" spans="1:5">
      <c r="D11" s="553" t="s">
        <v>576</v>
      </c>
      <c r="E11" s="553" t="s">
        <v>577</v>
      </c>
    </row>
    <row r="12" spans="1:5">
      <c r="D12" s="553" t="s">
        <v>578</v>
      </c>
      <c r="E12" s="553" t="s">
        <v>579</v>
      </c>
    </row>
    <row r="13" spans="1:5">
      <c r="D13" s="553" t="s">
        <v>580</v>
      </c>
      <c r="E13" s="553" t="s">
        <v>363</v>
      </c>
    </row>
    <row r="14" spans="1:5">
      <c r="D14" s="553" t="s">
        <v>581</v>
      </c>
      <c r="E14" s="553" t="s">
        <v>582</v>
      </c>
    </row>
    <row r="15" spans="1:5">
      <c r="D15" s="553" t="s">
        <v>583</v>
      </c>
      <c r="E15" s="553" t="s">
        <v>584</v>
      </c>
    </row>
    <row r="16" spans="1:5">
      <c r="D16" s="553" t="s">
        <v>585</v>
      </c>
      <c r="E16" s="553" t="s">
        <v>363</v>
      </c>
    </row>
    <row r="17" spans="3:5">
      <c r="D17" s="553" t="s">
        <v>586</v>
      </c>
      <c r="E17" s="553" t="s">
        <v>587</v>
      </c>
    </row>
    <row r="18" spans="3:5">
      <c r="D18" s="553" t="s">
        <v>588</v>
      </c>
      <c r="E18" s="553" t="s">
        <v>589</v>
      </c>
    </row>
    <row r="20" spans="3:5">
      <c r="C20" t="s">
        <v>591</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fitToPage="1"/>
  </sheetPr>
  <dimension ref="A1:IV35"/>
  <sheetViews>
    <sheetView zoomScaleNormal="100" workbookViewId="0"/>
  </sheetViews>
  <sheetFormatPr defaultRowHeight="13.5"/>
  <cols>
    <col min="1" max="1" width="3.5" style="490" bestFit="1" customWidth="1"/>
    <col min="2" max="2" width="20.75" style="491" bestFit="1" customWidth="1"/>
    <col min="3" max="3" width="86.25" style="491" bestFit="1" customWidth="1"/>
    <col min="4" max="256" width="9" style="491"/>
    <col min="257" max="16384" width="9" style="492"/>
  </cols>
  <sheetData>
    <row r="1" spans="1:6">
      <c r="A1" s="532" t="s">
        <v>487</v>
      </c>
      <c r="B1" s="533" t="s">
        <v>553</v>
      </c>
      <c r="C1" s="533"/>
      <c r="D1" s="533"/>
      <c r="E1" s="537"/>
    </row>
    <row r="2" spans="1:6">
      <c r="A2" s="534"/>
      <c r="B2" s="535" t="s">
        <v>554</v>
      </c>
      <c r="C2" s="535"/>
      <c r="D2" s="535"/>
      <c r="E2" s="538"/>
    </row>
    <row r="3" spans="1:6">
      <c r="A3" s="534"/>
      <c r="B3" s="535" t="s">
        <v>489</v>
      </c>
      <c r="C3" s="535"/>
      <c r="D3" s="535"/>
      <c r="E3" s="538"/>
    </row>
    <row r="4" spans="1:6">
      <c r="A4" s="534"/>
      <c r="B4" s="535"/>
      <c r="C4" s="535"/>
      <c r="D4" s="535"/>
      <c r="E4" s="538"/>
    </row>
    <row r="5" spans="1:6">
      <c r="A5" s="534"/>
      <c r="B5" s="535" t="s">
        <v>551</v>
      </c>
      <c r="C5" s="535"/>
      <c r="D5" s="535"/>
      <c r="E5" s="538"/>
    </row>
    <row r="6" spans="1:6">
      <c r="A6" s="534"/>
      <c r="B6" s="525" t="s">
        <v>552</v>
      </c>
      <c r="C6" s="525" t="s">
        <v>548</v>
      </c>
      <c r="D6" s="525" t="s">
        <v>549</v>
      </c>
      <c r="E6" s="538"/>
      <c r="F6" s="491" t="s">
        <v>557</v>
      </c>
    </row>
    <row r="7" spans="1:6">
      <c r="A7" s="534"/>
      <c r="B7" s="526">
        <v>1</v>
      </c>
      <c r="C7" s="526" t="s">
        <v>558</v>
      </c>
      <c r="D7" s="526"/>
      <c r="E7" s="538"/>
    </row>
    <row r="8" spans="1:6">
      <c r="A8" s="534"/>
      <c r="B8" s="526">
        <v>2</v>
      </c>
      <c r="C8" s="526" t="s">
        <v>546</v>
      </c>
      <c r="D8" s="526"/>
      <c r="E8" s="538"/>
    </row>
    <row r="9" spans="1:6">
      <c r="A9" s="534"/>
      <c r="B9" s="526">
        <v>3</v>
      </c>
      <c r="C9" s="526" t="s">
        <v>547</v>
      </c>
      <c r="D9" s="526" t="str">
        <f>IF(AND(D11="◯",D10="◯"),"◯","")</f>
        <v/>
      </c>
      <c r="E9" s="538"/>
    </row>
    <row r="10" spans="1:6">
      <c r="A10" s="534"/>
      <c r="B10" s="526">
        <v>4</v>
      </c>
      <c r="C10" s="526" t="s">
        <v>550</v>
      </c>
      <c r="D10" s="526"/>
      <c r="E10" s="538"/>
    </row>
    <row r="11" spans="1:6">
      <c r="A11" s="534"/>
      <c r="B11" s="526">
        <v>5</v>
      </c>
      <c r="C11" s="526" t="s">
        <v>556</v>
      </c>
      <c r="D11" s="526"/>
      <c r="E11" s="538"/>
    </row>
    <row r="12" spans="1:6">
      <c r="A12" s="534"/>
      <c r="B12" s="526"/>
      <c r="C12" s="526"/>
      <c r="D12" s="526"/>
      <c r="E12" s="538"/>
    </row>
    <row r="13" spans="1:6">
      <c r="A13" s="534"/>
      <c r="B13" s="535"/>
      <c r="C13" s="535"/>
      <c r="D13" s="535"/>
      <c r="E13" s="538"/>
    </row>
    <row r="14" spans="1:6">
      <c r="A14" s="534"/>
      <c r="B14" s="535"/>
      <c r="C14" s="535"/>
      <c r="D14" s="535"/>
      <c r="E14" s="538"/>
    </row>
    <row r="15" spans="1:6">
      <c r="A15" s="534"/>
      <c r="B15" s="535"/>
      <c r="C15" s="535"/>
      <c r="D15" s="535"/>
      <c r="E15" s="538"/>
    </row>
    <row r="16" spans="1:6">
      <c r="A16" s="534"/>
      <c r="B16" s="527" t="s">
        <v>490</v>
      </c>
      <c r="C16" s="526" t="str">
        <f>"[会議案内]["&amp;プロジェクト番号&amp;"]["&amp;C22&amp;"]["&amp;C23&amp;"]"&amp;C24&amp;"工程："&amp;C30&amp;"レビュー"</f>
        <v>[会議案内][][ツール改善][XXX]製作工程：内部レビュー</v>
      </c>
      <c r="D16" s="535"/>
      <c r="E16" s="538"/>
    </row>
    <row r="17" spans="1:5">
      <c r="A17" s="534"/>
      <c r="B17" s="527" t="s">
        <v>491</v>
      </c>
      <c r="C17" s="528"/>
      <c r="D17" s="535"/>
      <c r="E17" s="538"/>
    </row>
    <row r="18" spans="1:5">
      <c r="A18" s="534"/>
      <c r="B18" s="527" t="s">
        <v>492</v>
      </c>
      <c r="C18" s="528"/>
      <c r="D18" s="535"/>
      <c r="E18" s="538"/>
    </row>
    <row r="19" spans="1:5" ht="405">
      <c r="A19" s="534"/>
      <c r="B19" s="527" t="s">
        <v>493</v>
      </c>
      <c r="C19" s="529" t="str">
        <f ca="1">C21&amp;"です。
"&amp;C24&amp;"工程のレビューをお願いいたします。
　・案件名     ："&amp;C22&amp;"
　・アイテム名 ："&amp;C23&amp;"
■レビューの目的
　"&amp;C25&amp;"
■対象成果物と対象範囲(※リンク展開すること)
　ピアレビュー管理表『レビュー計画 - 対象範囲』参照
　"&amp;C26&amp;"
■レビュー主観点
　ピアレビュー管理表『観点の網羅性』参照
■項目毎の時間の割振り
　"&amp;C27&amp;"
■開始条件
　ピアレビュー管理表『レビューの開始条件』参照
■終了条件
　・対象成果物の対象範囲がすべて確認済みであること
　・レビュー主観点がすべて検証されていること
■ピアレビュー管理表
　"&amp;LEFT(CELL("filename",A1),FIND("[",CELL("filename",A1))-1) &amp;
 MID(CELL("filename"),SEARCH("[",CELL("filename"))+1, SEARCH("]",CELL("filename"))-SEARCH("[",CELL("filename"))-1)&amp;"
　シート："&amp;C28&amp;"
■工数入力タスク
　"&amp;C29&amp;"
以上です。よろしくお願いいたします。
"</f>
        <v xml:space="preserve">中村です。
製作工程のレビューをお願いいたします。
　・案件名     ：ツール改善
　・アイテム名 ：XXX
■レビューの目的
　AAA
■対象成果物と対象範囲(※リンク展開すること)
　ピアレビュー管理表『レビュー計画 - 対象範囲』参照
　&lt;成果物フォルダへのリンク&gt;
■レビュー主観点
　ピアレビュー管理表『観点の網羅性』参照
■項目毎の時間の割振り
　・abc.m：0.5H
・def.m：0.5H
■開始条件
　ピアレビュー管理表『レビューの開始条件』参照
■終了条件
　・対象成果物の対象範囲がすべて確認済みであること
　・レビュー主観点がすべて検証されていること
■ピアレビュー管理表
　\\dcinc.local\develop\inter_project\eModelBase\エンジニアリングプロセス(SVNシャドウ)\テンプレート\内部レビュー\ピアレビュー管理表テンプレート.xlsm
　シート：記録#1
■工数入力タスク
　http:~
以上です。よろしくお願いいたします。
</v>
      </c>
      <c r="D19" s="535"/>
      <c r="E19" s="538"/>
    </row>
    <row r="20" spans="1:5">
      <c r="A20" s="534"/>
      <c r="B20" s="544"/>
      <c r="C20" s="545"/>
      <c r="D20" s="535"/>
      <c r="E20" s="538"/>
    </row>
    <row r="21" spans="1:5">
      <c r="A21" s="534"/>
      <c r="B21" s="527" t="s">
        <v>494</v>
      </c>
      <c r="C21" s="547" t="s">
        <v>495</v>
      </c>
      <c r="D21" s="536"/>
      <c r="E21" s="538"/>
    </row>
    <row r="22" spans="1:5">
      <c r="A22" s="534"/>
      <c r="B22" s="531" t="s">
        <v>496</v>
      </c>
      <c r="C22" s="547" t="s">
        <v>497</v>
      </c>
      <c r="D22" s="536"/>
      <c r="E22" s="538"/>
    </row>
    <row r="23" spans="1:5">
      <c r="A23" s="534"/>
      <c r="B23" s="531" t="s">
        <v>498</v>
      </c>
      <c r="C23" s="547" t="s">
        <v>543</v>
      </c>
      <c r="D23" s="536"/>
      <c r="E23" s="538"/>
    </row>
    <row r="24" spans="1:5">
      <c r="A24" s="534"/>
      <c r="B24" s="531" t="s">
        <v>31</v>
      </c>
      <c r="C24" s="547" t="s">
        <v>499</v>
      </c>
      <c r="D24" s="536"/>
      <c r="E24" s="538"/>
    </row>
    <row r="25" spans="1:5">
      <c r="A25" s="534"/>
      <c r="B25" s="531" t="s">
        <v>500</v>
      </c>
      <c r="C25" s="547" t="s">
        <v>541</v>
      </c>
      <c r="D25" s="536"/>
      <c r="E25" s="538"/>
    </row>
    <row r="26" spans="1:5">
      <c r="A26" s="534"/>
      <c r="B26" s="531" t="s">
        <v>542</v>
      </c>
      <c r="C26" s="549" t="s">
        <v>555</v>
      </c>
      <c r="D26" s="536"/>
      <c r="E26" s="538"/>
    </row>
    <row r="27" spans="1:5" ht="27">
      <c r="A27" s="534"/>
      <c r="B27" s="531" t="s">
        <v>501</v>
      </c>
      <c r="C27" s="548" t="s">
        <v>502</v>
      </c>
      <c r="D27" s="536"/>
      <c r="E27" s="538"/>
    </row>
    <row r="28" spans="1:5">
      <c r="A28" s="534"/>
      <c r="B28" s="531" t="s">
        <v>545</v>
      </c>
      <c r="C28" s="548" t="s">
        <v>544</v>
      </c>
      <c r="D28" s="536"/>
      <c r="E28" s="538"/>
    </row>
    <row r="29" spans="1:5">
      <c r="A29" s="534"/>
      <c r="B29" s="531" t="s">
        <v>503</v>
      </c>
      <c r="C29" s="547" t="s">
        <v>504</v>
      </c>
      <c r="D29" s="536"/>
      <c r="E29" s="538"/>
    </row>
    <row r="30" spans="1:5">
      <c r="A30" s="534"/>
      <c r="B30" s="531" t="s">
        <v>505</v>
      </c>
      <c r="C30" s="547" t="s">
        <v>506</v>
      </c>
      <c r="D30" s="536" t="s">
        <v>507</v>
      </c>
      <c r="E30" s="538"/>
    </row>
    <row r="31" spans="1:5">
      <c r="A31" s="534"/>
      <c r="B31" s="531"/>
      <c r="C31" s="530"/>
      <c r="D31" s="536"/>
      <c r="E31" s="538"/>
    </row>
    <row r="32" spans="1:5">
      <c r="A32" s="534"/>
      <c r="B32" s="546"/>
      <c r="C32" s="546"/>
      <c r="D32" s="535"/>
      <c r="E32" s="538"/>
    </row>
    <row r="33" spans="1:5">
      <c r="A33" s="534"/>
      <c r="B33" s="535"/>
      <c r="C33" s="535"/>
      <c r="D33" s="535"/>
      <c r="E33" s="538"/>
    </row>
    <row r="34" spans="1:5">
      <c r="A34" s="534"/>
      <c r="B34" s="535"/>
      <c r="C34" s="539"/>
      <c r="D34" s="535"/>
      <c r="E34" s="538"/>
    </row>
    <row r="35" spans="1:5">
      <c r="A35" s="540"/>
      <c r="B35" s="541"/>
      <c r="C35" s="542"/>
      <c r="D35" s="541"/>
      <c r="E35" s="543"/>
    </row>
  </sheetData>
  <phoneticPr fontId="4"/>
  <conditionalFormatting sqref="D9">
    <cfRule type="containsBlanks" dxfId="104" priority="2">
      <formula>LEN(TRIM(D9))=0</formula>
    </cfRule>
  </conditionalFormatting>
  <dataValidations count="1">
    <dataValidation type="list" allowBlank="1" showInputMessage="1" showErrorMessage="1" sqref="D10:D12 D7:D8">
      <formula1>"◯,-"</formula1>
    </dataValidation>
  </dataValidations>
  <pageMargins left="0.70866141732283472" right="0.70866141732283472" top="0.74803149606299213" bottom="0.74803149606299213" header="0.31496062992125984" footer="0.31496062992125984"/>
  <pageSetup paperSize="9" scale="8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9985" r:id="rId4" name="Button 1">
              <controlPr defaultSize="0" print="0" autoFill="0" autoPict="0" macro="[0]!Sheet4.MakeMailButton_Click">
                <anchor moveWithCells="1">
                  <from>
                    <xdr:col>1</xdr:col>
                    <xdr:colOff>47625</xdr:colOff>
                    <xdr:row>13</xdr:row>
                    <xdr:rowOff>57150</xdr:rowOff>
                  </from>
                  <to>
                    <xdr:col>1</xdr:col>
                    <xdr:colOff>1190625</xdr:colOff>
                    <xdr:row>14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E22"/>
  <sheetViews>
    <sheetView zoomScaleNormal="100" workbookViewId="0"/>
  </sheetViews>
  <sheetFormatPr defaultColWidth="9" defaultRowHeight="13.5"/>
  <cols>
    <col min="1" max="1" width="3.5" style="493" bestFit="1" customWidth="1"/>
    <col min="2" max="2" width="21.75" style="494" customWidth="1"/>
    <col min="3" max="3" width="74.875" style="494" customWidth="1"/>
    <col min="4" max="4" width="35.625" style="494" bestFit="1" customWidth="1"/>
    <col min="5" max="16384" width="9" style="494"/>
  </cols>
  <sheetData>
    <row r="1" spans="1:5">
      <c r="A1" s="493" t="s">
        <v>508</v>
      </c>
      <c r="B1" s="494" t="s">
        <v>488</v>
      </c>
      <c r="C1"/>
      <c r="D1"/>
    </row>
    <row r="3" spans="1:5">
      <c r="A3"/>
      <c r="B3" s="494" t="s">
        <v>509</v>
      </c>
      <c r="C3"/>
      <c r="D3"/>
    </row>
    <row r="4" spans="1:5">
      <c r="A4"/>
      <c r="B4" s="494" t="s">
        <v>510</v>
      </c>
      <c r="C4"/>
      <c r="D4"/>
    </row>
    <row r="8" spans="1:5">
      <c r="A8"/>
      <c r="B8" s="495" t="s">
        <v>490</v>
      </c>
      <c r="C8" s="496" t="str">
        <f>"【承認依頼】["&amp;C16&amp;"]["&amp;$C$17&amp;"]レビュー管理表("&amp;C13&amp;"："&amp;C14&amp;"）"</f>
        <v>【承認依頼】[0][0]レビュー管理表(共通：外部テスト実施）</v>
      </c>
      <c r="D8"/>
    </row>
    <row r="9" spans="1:5">
      <c r="A9"/>
      <c r="B9" s="495" t="s">
        <v>491</v>
      </c>
      <c r="C9" s="497" t="s">
        <v>511</v>
      </c>
      <c r="D9"/>
    </row>
    <row r="10" spans="1:5">
      <c r="A10"/>
      <c r="B10" s="495" t="s">
        <v>512</v>
      </c>
      <c r="C10" s="497"/>
      <c r="D10" s="498"/>
    </row>
    <row r="11" spans="1:5" ht="409.5" customHeight="1">
      <c r="A11"/>
      <c r="B11" s="495" t="s">
        <v>493</v>
      </c>
      <c r="C11" s="499" t="str">
        <f ca="1">$C$15&amp;"です。
件名アイテムのレビュー管理表を作成しました。
内容を確認の上、承認願います。
■レビュー管理表
&lt;file://"&amp;C18&amp;"&gt;
　シート：○○
■後工程への影響
・計画成果量："&amp;C20&amp;"
・実績成果量："&amp;C21&amp;"
□計画変更要否：〇〇
　理由：〇〇（次工程だけでなく、後工程全体を確認すること。特に実現方針が当初の計画から変わっている場合、影響がある可能性が高い）
■自己採点結果とその理由
○○点
■アイテム一覧
&lt;file://\\dcinc.local\develop\project\P60589xxx\管理\20_要求管理\DNCP_開発アイテム一覧.xlsx&gt;
　○○行目
■トレーサビリティマトリックス
&lt;"&amp;C19&amp;"&gt;
　○○行目
以上、よろしくお願い致します。
------------------------------------------------------
[セルフチェック用]
□対応するMilesタスクは完了にしたか
□新しく得たノウハウはノウハウまとめファイルに追記したか
------------------------------------------------------
"</f>
        <v xml:space="preserve">xxxです。
件名アイテムのレビュー管理表を作成しました。
内容を確認の上、承認願います。
■レビュー管理表
&lt;file://\\dcinc.local\develop\inter_project\eModelBase\エンジニアリングプロセス(SVNシャドウ)\テンプレート\内部レビュー\ピアレビュー管理表テンプレート.xlsm&gt;
　シート：○○
■後工程への影響
・計画成果量：
・実績成果量：
□計画変更要否：〇〇
　理由：〇〇（次工程だけでなく、後工程全体を確認すること。特に実現方針が当初の計画から変わっている場合、影響がある可能性が高い）
■自己採点結果とその理由
○○点
■アイテム一覧
&lt;file://\\dcinc.local\develop\project\P60589xxx\管理\20_要求管理\DNCP_開発アイテム一覧.xlsx&gt;
　○○行目
■トレーサビリティマトリックス
&lt;file://\\dcinc.local\develop\project\P60589xxx\エンジニアリング\07_R2.40・R0.70開発\R2.40開発_トレーサビリティ記録シート.xlsm&gt;
　○○行目
以上、よろしくお願い致します。
------------------------------------------------------
[セルフチェック用]
□対応するMilesタスクは完了にしたか
□新しく得たノウハウはノウハウまとめファイルに追記したか
------------------------------------------------------
</v>
      </c>
      <c r="D11" s="500" t="s">
        <v>513</v>
      </c>
    </row>
    <row r="12" spans="1:5">
      <c r="A12"/>
      <c r="B12" s="501"/>
      <c r="C12" s="502"/>
      <c r="D12"/>
    </row>
    <row r="13" spans="1:5">
      <c r="A13"/>
      <c r="B13" s="503" t="s">
        <v>498</v>
      </c>
      <c r="C13" s="504" t="s">
        <v>514</v>
      </c>
      <c r="D13" s="505" t="s">
        <v>515</v>
      </c>
      <c r="E13" s="498"/>
    </row>
    <row r="14" spans="1:5">
      <c r="A14"/>
      <c r="B14" s="503" t="s">
        <v>31</v>
      </c>
      <c r="C14" s="506" t="s">
        <v>147</v>
      </c>
      <c r="D14" s="507" t="s">
        <v>516</v>
      </c>
    </row>
    <row r="15" spans="1:5">
      <c r="A15"/>
      <c r="B15" s="508" t="s">
        <v>517</v>
      </c>
      <c r="C15" s="504" t="s">
        <v>518</v>
      </c>
      <c r="D15" s="505" t="s">
        <v>519</v>
      </c>
    </row>
    <row r="16" spans="1:5">
      <c r="A16" s="494"/>
      <c r="B16" s="503" t="s">
        <v>520</v>
      </c>
      <c r="C16" s="509">
        <f>プロジェクト番号</f>
        <v>0</v>
      </c>
      <c r="D16" s="498" t="s">
        <v>521</v>
      </c>
    </row>
    <row r="17" spans="1:4">
      <c r="A17" s="494"/>
      <c r="B17" s="503" t="s">
        <v>522</v>
      </c>
      <c r="C17" s="509">
        <f>プロジェクト名</f>
        <v>0</v>
      </c>
      <c r="D17" s="498" t="s">
        <v>521</v>
      </c>
    </row>
    <row r="18" spans="1:4" ht="27">
      <c r="B18" s="503" t="s">
        <v>523</v>
      </c>
      <c r="C18" s="510" t="str">
        <f ca="1">LEFT(CELL("filename",A1),FIND("[",CELL("filename",A1))-1) &amp;  MID(CELL("filename"),SEARCH("[",CELL("filename"))+1, SEARCH("]",CELL("filename"))-SEARCH("[",CELL("filename"))-1)</f>
        <v>\\dcinc.local\develop\inter_project\eModelBase\エンジニアリングプロセス(SVNシャドウ)\テンプレート\内部レビュー\ピアレビュー管理表テンプレート.xlsm</v>
      </c>
      <c r="D18" s="498" t="s">
        <v>524</v>
      </c>
    </row>
    <row r="19" spans="1:4" ht="27">
      <c r="B19" s="511" t="s">
        <v>525</v>
      </c>
      <c r="C19" s="512" t="s">
        <v>526</v>
      </c>
      <c r="D19" s="498" t="s">
        <v>521</v>
      </c>
    </row>
    <row r="20" spans="1:4">
      <c r="B20" s="511" t="s">
        <v>559</v>
      </c>
      <c r="C20" s="512"/>
      <c r="D20" s="498"/>
    </row>
    <row r="21" spans="1:4">
      <c r="B21" s="511" t="s">
        <v>560</v>
      </c>
      <c r="C21" s="512"/>
      <c r="D21" s="498"/>
    </row>
    <row r="22" spans="1:4">
      <c r="A22" s="494"/>
      <c r="B22" s="513"/>
      <c r="C22" s="513"/>
      <c r="D22"/>
    </row>
  </sheetData>
  <phoneticPr fontId="4"/>
  <dataValidations count="2">
    <dataValidation type="list" allowBlank="1" showInputMessage="1" showErrorMessage="1" sqref="C13">
      <formula1>機能</formula1>
    </dataValidation>
    <dataValidation type="list" allowBlank="1" showInputMessage="1" showErrorMessage="1" sqref="C14">
      <formula1>工程定義</formula1>
    </dataValidation>
  </dataValidations>
  <hyperlinks>
    <hyperlink ref="C19"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811009" r:id="rId5" name="Button 1">
              <controlPr defaultSize="0" print="0" autoFill="0" autoPict="0" macro="[0]!Sheet1.MakeMailButton_Click">
                <anchor moveWithCells="1" sizeWithCells="1">
                  <from>
                    <xdr:col>1</xdr:col>
                    <xdr:colOff>38100</xdr:colOff>
                    <xdr:row>4</xdr:row>
                    <xdr:rowOff>114300</xdr:rowOff>
                  </from>
                  <to>
                    <xdr:col>2</xdr:col>
                    <xdr:colOff>76200</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autoPageBreaks="0"/>
  </sheetPr>
  <dimension ref="A1:R65"/>
  <sheetViews>
    <sheetView showGridLines="0" zoomScaleNormal="100" workbookViewId="0"/>
  </sheetViews>
  <sheetFormatPr defaultRowHeight="12"/>
  <cols>
    <col min="1" max="1" width="5.375" style="313" customWidth="1"/>
    <col min="2" max="2" width="12.375" style="313" customWidth="1"/>
    <col min="3" max="3" width="10.875" style="313" customWidth="1"/>
    <col min="4" max="4" width="9.875" style="313" customWidth="1"/>
    <col min="5" max="6" width="9" style="313"/>
    <col min="7" max="7" width="12.75" style="313" customWidth="1"/>
    <col min="8" max="8" width="11.25" style="313" customWidth="1"/>
    <col min="9" max="9" width="11.5" style="313" customWidth="1"/>
    <col min="10" max="11" width="9" style="313"/>
    <col min="12" max="12" width="13.75" style="313" customWidth="1"/>
    <col min="13" max="13" width="10.875" style="313" customWidth="1"/>
    <col min="14" max="14" width="11.5" style="313" customWidth="1"/>
    <col min="15" max="15" width="9.25" style="313" customWidth="1"/>
    <col min="16" max="16384" width="9" style="313"/>
  </cols>
  <sheetData>
    <row r="1" spans="1:18" ht="25.5">
      <c r="B1" s="314" t="s">
        <v>70</v>
      </c>
    </row>
    <row r="2" spans="1:18" ht="18" thickBot="1">
      <c r="A2" s="315"/>
      <c r="B2" s="313" t="s">
        <v>215</v>
      </c>
    </row>
    <row r="3" spans="1:18" ht="24.75" thickBot="1">
      <c r="B3" s="299" t="s">
        <v>213</v>
      </c>
      <c r="C3" s="300" t="s">
        <v>214</v>
      </c>
      <c r="D3" s="301" t="s">
        <v>203</v>
      </c>
      <c r="E3" s="302" t="s">
        <v>230</v>
      </c>
      <c r="F3" s="303" t="s">
        <v>201</v>
      </c>
      <c r="G3" s="304" t="s">
        <v>393</v>
      </c>
      <c r="H3" s="316"/>
      <c r="I3" s="316"/>
      <c r="J3" s="316"/>
      <c r="K3" s="316"/>
    </row>
    <row r="4" spans="1:18" ht="12" customHeight="1" thickTop="1">
      <c r="A4" s="317"/>
      <c r="B4" s="318" t="s">
        <v>198</v>
      </c>
      <c r="C4" s="324">
        <f>SUMIF(レビュー管理!$G$11:$G$12,$B4,レビュー管理!$R$11:$R$12)</f>
        <v>0</v>
      </c>
      <c r="D4" s="325">
        <f>SUMIF(レビュー管理!$G$11:$G$12,$B4,レビュー管理!$S$11:$S$12)</f>
        <v>0</v>
      </c>
      <c r="E4" s="326">
        <f>SUMIF(レビュー管理!$G$11:$G$12,$B4,レビュー管理!$T$11:$T$12)</f>
        <v>0</v>
      </c>
      <c r="F4" s="327">
        <f>SUMIF(レビュー管理!$G$11:$G$12,$B4,レビュー管理!$U$11:$U$12)</f>
        <v>0</v>
      </c>
      <c r="G4" s="328">
        <f>SUMIF(レビュー管理!$G$11:$G$12,$B4,レビュー管理!$Z$11:$Z$12)</f>
        <v>0</v>
      </c>
      <c r="H4" s="319"/>
      <c r="I4" s="319"/>
      <c r="J4" s="319"/>
      <c r="K4" s="319"/>
    </row>
    <row r="5" spans="1:18" ht="12" customHeight="1">
      <c r="A5" s="317"/>
      <c r="B5" s="320" t="s">
        <v>403</v>
      </c>
      <c r="C5" s="324">
        <f>SUMIF(レビュー管理!$G$11:$G$12,$B5,レビュー管理!$R$11:$R$12)</f>
        <v>0</v>
      </c>
      <c r="D5" s="325">
        <f>SUMIF(レビュー管理!$G$11:$G$12,$B5,レビュー管理!$S$11:$S$12)</f>
        <v>0</v>
      </c>
      <c r="E5" s="326">
        <f>SUMIF(レビュー管理!$G$11:$G$12,$B5,レビュー管理!$T$11:$T$12)</f>
        <v>0</v>
      </c>
      <c r="F5" s="327">
        <f>SUMIF(レビュー管理!$G$11:$G$12,$B5,レビュー管理!$U$11:$U$12)</f>
        <v>0</v>
      </c>
      <c r="G5" s="329">
        <f>SUMIF(レビュー管理!$G$11:$G$12,$B5,レビュー管理!$Z$11:$Z$12)</f>
        <v>0</v>
      </c>
      <c r="H5" s="319"/>
      <c r="I5" s="319"/>
      <c r="J5" s="319"/>
      <c r="K5" s="319"/>
    </row>
    <row r="6" spans="1:18" ht="12" customHeight="1">
      <c r="A6" s="317"/>
      <c r="B6" s="320" t="s">
        <v>204</v>
      </c>
      <c r="C6" s="324">
        <f>SUMIF(レビュー管理!$G$11:$G$12,$B6,レビュー管理!$R$11:$R$12)</f>
        <v>0</v>
      </c>
      <c r="D6" s="325">
        <f>SUMIF(レビュー管理!$G$11:$G$12,$B6,レビュー管理!$S$11:$S$12)</f>
        <v>0</v>
      </c>
      <c r="E6" s="326">
        <f>SUMIF(レビュー管理!$G$11:$G$12,$B6,レビュー管理!$T$11:$T$12)</f>
        <v>0</v>
      </c>
      <c r="F6" s="327">
        <f>SUMIF(レビュー管理!$G$11:$G$12,$B6,レビュー管理!$U$11:$U$12)</f>
        <v>0</v>
      </c>
      <c r="G6" s="329">
        <f>SUMIF(レビュー管理!$G$11:$G$12,$B6,レビュー管理!$Z$11:$Z$12)</f>
        <v>0</v>
      </c>
      <c r="H6" s="319"/>
      <c r="I6" s="319"/>
      <c r="J6" s="319"/>
      <c r="K6" s="319"/>
    </row>
    <row r="7" spans="1:18" ht="12" customHeight="1">
      <c r="A7" s="317"/>
      <c r="B7" s="320" t="s">
        <v>205</v>
      </c>
      <c r="C7" s="324">
        <f>SUMIF(レビュー管理!$G$11:$G$12,$B7,レビュー管理!$R$11:$R$12)</f>
        <v>0</v>
      </c>
      <c r="D7" s="325">
        <f>SUMIF(レビュー管理!$G$11:$G$12,$B7,レビュー管理!$S$11:$S$12)</f>
        <v>0</v>
      </c>
      <c r="E7" s="326">
        <f>SUMIF(レビュー管理!$G$11:$G$12,$B7,レビュー管理!$T$11:$T$12)</f>
        <v>0</v>
      </c>
      <c r="F7" s="327">
        <f>SUMIF(レビュー管理!$G$11:$G$12,$B7,レビュー管理!$U$11:$U$12)</f>
        <v>0</v>
      </c>
      <c r="G7" s="329">
        <f>SUMIF(レビュー管理!$G$11:$G$12,$B7,レビュー管理!$Z$11:$Z$12)</f>
        <v>0</v>
      </c>
      <c r="H7" s="319"/>
      <c r="I7" s="319"/>
      <c r="J7" s="319"/>
      <c r="K7" s="319"/>
    </row>
    <row r="8" spans="1:18" ht="12" customHeight="1">
      <c r="A8" s="317"/>
      <c r="B8" s="320" t="s">
        <v>206</v>
      </c>
      <c r="C8" s="324">
        <f>SUMIF(レビュー管理!$G$11:$G$12,$B8,レビュー管理!$R$11:$R$12)</f>
        <v>0</v>
      </c>
      <c r="D8" s="325">
        <f>SUMIF(レビュー管理!$G$11:$G$12,$B8,レビュー管理!$S$11:$S$12)</f>
        <v>0</v>
      </c>
      <c r="E8" s="326">
        <f>SUMIF(レビュー管理!$G$11:$G$12,$B8,レビュー管理!$T$11:$T$12)</f>
        <v>0</v>
      </c>
      <c r="F8" s="327">
        <f>SUMIF(レビュー管理!$G$11:$G$12,$B8,レビュー管理!$U$11:$U$12)</f>
        <v>0</v>
      </c>
      <c r="G8" s="329">
        <f>SUMIF(レビュー管理!$G$11:$G$12,$B8,レビュー管理!$Z$11:$Z$12)</f>
        <v>0</v>
      </c>
      <c r="H8" s="319"/>
      <c r="I8" s="319"/>
      <c r="J8" s="319"/>
      <c r="K8" s="319"/>
    </row>
    <row r="9" spans="1:18" ht="12" customHeight="1">
      <c r="A9" s="317"/>
      <c r="B9" s="320" t="s">
        <v>207</v>
      </c>
      <c r="C9" s="324">
        <f>SUMIF(レビュー管理!$G$11:$G$12,$B9,レビュー管理!$R$11:$R$12)</f>
        <v>0</v>
      </c>
      <c r="D9" s="325">
        <f>SUMIF(レビュー管理!$G$11:$G$12,$B9,レビュー管理!$S$11:$S$12)</f>
        <v>0</v>
      </c>
      <c r="E9" s="326">
        <f>SUMIF(レビュー管理!$G$11:$G$12,$B9,レビュー管理!$T$11:$T$12)</f>
        <v>0</v>
      </c>
      <c r="F9" s="327">
        <f>SUMIF(レビュー管理!$G$11:$G$12,$B9,レビュー管理!$U$11:$U$12)</f>
        <v>0</v>
      </c>
      <c r="G9" s="329">
        <f>SUMIF(レビュー管理!$G$11:$G$12,$B9,レビュー管理!$Z$11:$Z$12)</f>
        <v>0</v>
      </c>
      <c r="H9" s="319"/>
      <c r="I9" s="319"/>
      <c r="J9" s="319"/>
      <c r="K9" s="319"/>
    </row>
    <row r="10" spans="1:18" ht="12" customHeight="1">
      <c r="B10" s="320" t="s">
        <v>208</v>
      </c>
      <c r="C10" s="324">
        <f>SUMIF(レビュー管理!$G$11:$G$12,$B10,レビュー管理!$R$11:$R$12)</f>
        <v>0</v>
      </c>
      <c r="D10" s="325">
        <f>SUMIF(レビュー管理!$G$11:$G$12,$B10,レビュー管理!$S$11:$S$12)</f>
        <v>0</v>
      </c>
      <c r="E10" s="326">
        <f>SUMIF(レビュー管理!$G$11:$G$12,$B10,レビュー管理!$T$11:$T$12)</f>
        <v>0</v>
      </c>
      <c r="F10" s="327">
        <f>SUMIF(レビュー管理!$G$11:$G$12,$B10,レビュー管理!$U$11:$U$12)</f>
        <v>0</v>
      </c>
      <c r="G10" s="329">
        <f>SUMIF(レビュー管理!$G$11:$G$12,$B10,レビュー管理!$Z$11:$Z$12)</f>
        <v>0</v>
      </c>
      <c r="H10" s="319"/>
      <c r="I10" s="319"/>
      <c r="J10" s="319"/>
      <c r="K10" s="319"/>
    </row>
    <row r="11" spans="1:18" ht="12" customHeight="1">
      <c r="B11" s="320" t="s">
        <v>209</v>
      </c>
      <c r="C11" s="324">
        <f>SUMIF(レビュー管理!$G$11:$G$12,$B11,レビュー管理!$R$11:$R$12)</f>
        <v>0</v>
      </c>
      <c r="D11" s="325">
        <f>SUMIF(レビュー管理!$G$11:$G$12,$B11,レビュー管理!$S$11:$S$12)</f>
        <v>0</v>
      </c>
      <c r="E11" s="326">
        <f>SUMIF(レビュー管理!$G$11:$G$12,$B11,レビュー管理!$T$11:$T$12)</f>
        <v>0</v>
      </c>
      <c r="F11" s="327">
        <f>SUMIF(レビュー管理!$G$11:$G$12,$B11,レビュー管理!$U$11:$U$12)</f>
        <v>0</v>
      </c>
      <c r="G11" s="329">
        <f>SUMIF(レビュー管理!$G$11:$G$12,$B11,レビュー管理!$Z$11:$Z$12)</f>
        <v>0</v>
      </c>
      <c r="H11" s="319"/>
      <c r="I11" s="319"/>
      <c r="J11" s="319"/>
      <c r="K11" s="319"/>
    </row>
    <row r="12" spans="1:18" s="321" customFormat="1" ht="12" customHeight="1">
      <c r="B12" s="320" t="s">
        <v>210</v>
      </c>
      <c r="C12" s="324">
        <f>SUMIF(レビュー管理!$G$11:$G$12,$B12,レビュー管理!$R$11:$R$12)</f>
        <v>0</v>
      </c>
      <c r="D12" s="325">
        <f>SUMIF(レビュー管理!$G$11:$G$12,$B12,レビュー管理!$S$11:$S$12)</f>
        <v>0</v>
      </c>
      <c r="E12" s="326">
        <f>SUMIF(レビュー管理!$G$11:$G$12,$B12,レビュー管理!$T$11:$T$12)</f>
        <v>0</v>
      </c>
      <c r="F12" s="327">
        <f>SUMIF(レビュー管理!$G$11:$G$12,$B12,レビュー管理!$U$11:$U$12)</f>
        <v>0</v>
      </c>
      <c r="G12" s="329">
        <f>SUMIF(レビュー管理!$G$11:$G$12,$B12,レビュー管理!$Z$11:$Z$12)</f>
        <v>0</v>
      </c>
      <c r="H12" s="319"/>
      <c r="I12" s="319"/>
      <c r="J12" s="319"/>
      <c r="K12" s="319"/>
    </row>
    <row r="13" spans="1:18" s="321" customFormat="1" ht="12" customHeight="1">
      <c r="B13" s="320" t="s">
        <v>211</v>
      </c>
      <c r="C13" s="324">
        <f>SUMIF(レビュー管理!$G$11:$G$12,$B13,レビュー管理!$R$11:$R$12)</f>
        <v>0</v>
      </c>
      <c r="D13" s="325">
        <f>SUMIF(レビュー管理!$G$11:$G$12,$B13,レビュー管理!$S$11:$S$12)</f>
        <v>0</v>
      </c>
      <c r="E13" s="326">
        <f>SUMIF(レビュー管理!$G$11:$G$12,$B13,レビュー管理!$T$11:$T$12)</f>
        <v>0</v>
      </c>
      <c r="F13" s="327">
        <f>SUMIF(レビュー管理!$G$11:$G$12,$B13,レビュー管理!$U$11:$U$12)</f>
        <v>0</v>
      </c>
      <c r="G13" s="329">
        <f>SUMIF(レビュー管理!$G$11:$G$12,$B13,レビュー管理!$Z$11:$Z$12)</f>
        <v>0</v>
      </c>
      <c r="H13" s="319"/>
      <c r="I13" s="319"/>
      <c r="J13" s="319"/>
      <c r="K13" s="319"/>
    </row>
    <row r="14" spans="1:18" s="321" customFormat="1" ht="12" customHeight="1" thickBot="1">
      <c r="B14" s="322" t="s">
        <v>212</v>
      </c>
      <c r="C14" s="330">
        <f>SUMIF(レビュー管理!$G$11:$G$12,$B14,レビュー管理!$R$11:$R$12)</f>
        <v>0</v>
      </c>
      <c r="D14" s="331">
        <f>SUMIF(レビュー管理!$G$11:$G$12,$B14,レビュー管理!$S$11:$S$12)</f>
        <v>0</v>
      </c>
      <c r="E14" s="332">
        <f>SUMIF(レビュー管理!$G$11:$G$12,$B14,レビュー管理!$T$11:$T$12)</f>
        <v>0</v>
      </c>
      <c r="F14" s="333">
        <f>SUMIF(レビュー管理!$G$11:$G$12,$B14,レビュー管理!$U$11:$U$12)</f>
        <v>0</v>
      </c>
      <c r="G14" s="334">
        <f>SUMIF(レビュー管理!$G$11:$G$12,$B14,レビュー管理!$Z$11:$Z$12)</f>
        <v>0</v>
      </c>
      <c r="H14" s="319"/>
      <c r="I14" s="319"/>
      <c r="J14" s="319"/>
      <c r="K14" s="319"/>
    </row>
    <row r="15" spans="1:18" s="321" customFormat="1" ht="13.5" thickTop="1" thickBot="1">
      <c r="B15" s="323" t="s">
        <v>202</v>
      </c>
      <c r="C15" s="335">
        <f>SUM(C4:C14)</f>
        <v>0</v>
      </c>
      <c r="D15" s="336">
        <f>SUM(D4:D14)</f>
        <v>0</v>
      </c>
      <c r="E15" s="337">
        <f>SUM(E4:E14)</f>
        <v>0</v>
      </c>
      <c r="F15" s="338">
        <f>SUM(F4:F14)</f>
        <v>0</v>
      </c>
      <c r="G15" s="339">
        <f>SUM(G4:G14)</f>
        <v>0</v>
      </c>
      <c r="H15" s="319"/>
      <c r="I15" s="319"/>
      <c r="J15" s="319"/>
      <c r="K15" s="319"/>
    </row>
    <row r="16" spans="1:18" s="321" customFormat="1">
      <c r="B16" s="319"/>
      <c r="C16" s="319"/>
      <c r="D16" s="319"/>
      <c r="E16" s="319"/>
      <c r="F16" s="319"/>
      <c r="G16" s="319"/>
      <c r="H16" s="319"/>
      <c r="I16" s="319"/>
      <c r="J16" s="319"/>
      <c r="K16" s="319"/>
      <c r="L16" s="319"/>
      <c r="M16" s="319"/>
      <c r="N16" s="319"/>
      <c r="O16" s="319"/>
      <c r="P16" s="319"/>
      <c r="Q16" s="319"/>
      <c r="R16" s="319"/>
    </row>
    <row r="17" spans="2:18" s="321" customFormat="1">
      <c r="B17" s="319"/>
      <c r="C17" s="319"/>
      <c r="D17" s="319"/>
      <c r="E17" s="319"/>
      <c r="F17" s="319"/>
      <c r="G17" s="319"/>
      <c r="H17" s="319"/>
      <c r="I17" s="319"/>
      <c r="J17" s="319"/>
      <c r="K17" s="319"/>
      <c r="L17" s="319"/>
      <c r="M17" s="319"/>
      <c r="N17" s="319"/>
      <c r="O17" s="319"/>
      <c r="P17" s="319"/>
      <c r="Q17" s="319"/>
      <c r="R17" s="319"/>
    </row>
    <row r="19" spans="2:18" ht="17.25">
      <c r="B19" s="305" t="s">
        <v>260</v>
      </c>
    </row>
    <row r="20" spans="2:18" ht="12.75" thickBot="1"/>
    <row r="21" spans="2:18" ht="13.5">
      <c r="B21" s="306" t="s">
        <v>31</v>
      </c>
      <c r="C21" s="586" t="s">
        <v>250</v>
      </c>
      <c r="D21" s="587"/>
      <c r="E21" s="340" t="s">
        <v>268</v>
      </c>
      <c r="G21" s="307" t="s">
        <v>31</v>
      </c>
      <c r="H21" s="588" t="s">
        <v>250</v>
      </c>
      <c r="I21" s="588"/>
      <c r="J21" s="344" t="s">
        <v>268</v>
      </c>
      <c r="L21" s="307" t="s">
        <v>31</v>
      </c>
      <c r="M21" s="588" t="s">
        <v>250</v>
      </c>
      <c r="N21" s="588"/>
      <c r="O21" s="344" t="s">
        <v>268</v>
      </c>
    </row>
    <row r="22" spans="2:18" ht="13.5">
      <c r="B22" s="308" t="s">
        <v>261</v>
      </c>
      <c r="C22" s="580" t="s">
        <v>262</v>
      </c>
      <c r="D22" s="581"/>
      <c r="E22" s="341">
        <v>0</v>
      </c>
      <c r="G22" s="309" t="s">
        <v>398</v>
      </c>
      <c r="H22" s="580" t="s">
        <v>399</v>
      </c>
      <c r="I22" s="581"/>
      <c r="J22" s="341">
        <v>0</v>
      </c>
      <c r="L22" s="308" t="s">
        <v>269</v>
      </c>
      <c r="M22" s="589" t="s">
        <v>156</v>
      </c>
      <c r="N22" s="590"/>
      <c r="O22" s="341">
        <v>0</v>
      </c>
    </row>
    <row r="23" spans="2:18" ht="13.5">
      <c r="B23" s="310"/>
      <c r="C23" s="580" t="s">
        <v>263</v>
      </c>
      <c r="D23" s="581"/>
      <c r="E23" s="342">
        <v>0</v>
      </c>
      <c r="G23" s="311"/>
      <c r="H23" s="580" t="s">
        <v>400</v>
      </c>
      <c r="I23" s="581"/>
      <c r="J23" s="341">
        <v>0</v>
      </c>
      <c r="L23" s="310"/>
      <c r="M23" s="589" t="s">
        <v>185</v>
      </c>
      <c r="N23" s="590"/>
      <c r="O23" s="341">
        <v>0</v>
      </c>
    </row>
    <row r="24" spans="2:18" ht="13.5">
      <c r="B24" s="310"/>
      <c r="C24" s="580" t="s">
        <v>320</v>
      </c>
      <c r="D24" s="581"/>
      <c r="E24" s="342">
        <v>0</v>
      </c>
      <c r="G24" s="311"/>
      <c r="H24" s="580" t="s">
        <v>401</v>
      </c>
      <c r="I24" s="581"/>
      <c r="J24" s="341">
        <v>0</v>
      </c>
      <c r="L24" s="310"/>
      <c r="M24" s="589" t="s">
        <v>334</v>
      </c>
      <c r="N24" s="590"/>
      <c r="O24" s="341">
        <v>0</v>
      </c>
    </row>
    <row r="25" spans="2:18" ht="13.5">
      <c r="B25" s="310"/>
      <c r="C25" s="580" t="s">
        <v>264</v>
      </c>
      <c r="D25" s="581"/>
      <c r="E25" s="342">
        <v>0</v>
      </c>
      <c r="G25" s="311"/>
      <c r="H25" s="580" t="s">
        <v>402</v>
      </c>
      <c r="I25" s="581"/>
      <c r="J25" s="341">
        <v>0</v>
      </c>
      <c r="L25" s="310"/>
      <c r="M25" s="589" t="s">
        <v>335</v>
      </c>
      <c r="N25" s="590"/>
      <c r="O25" s="341">
        <v>0</v>
      </c>
    </row>
    <row r="26" spans="2:18" ht="13.5">
      <c r="B26" s="310"/>
      <c r="C26" s="580" t="s">
        <v>321</v>
      </c>
      <c r="D26" s="581"/>
      <c r="E26" s="342">
        <v>0</v>
      </c>
      <c r="G26" s="311"/>
      <c r="H26" s="580" t="s">
        <v>465</v>
      </c>
      <c r="I26" s="581"/>
      <c r="J26" s="341">
        <v>0</v>
      </c>
      <c r="L26" s="310"/>
      <c r="M26" s="589" t="s">
        <v>336</v>
      </c>
      <c r="N26" s="590"/>
      <c r="O26" s="341">
        <v>0</v>
      </c>
    </row>
    <row r="27" spans="2:18" ht="13.5">
      <c r="B27" s="310"/>
      <c r="C27" s="580" t="s">
        <v>265</v>
      </c>
      <c r="D27" s="581"/>
      <c r="E27" s="342">
        <v>0</v>
      </c>
      <c r="G27" s="311"/>
      <c r="H27" s="580" t="s">
        <v>470</v>
      </c>
      <c r="I27" s="581"/>
      <c r="J27" s="341">
        <v>0</v>
      </c>
      <c r="L27" s="310"/>
      <c r="M27" s="589" t="s">
        <v>337</v>
      </c>
      <c r="N27" s="590"/>
      <c r="O27" s="341">
        <v>0</v>
      </c>
    </row>
    <row r="28" spans="2:18" ht="13.5">
      <c r="B28" s="310"/>
      <c r="C28" s="580" t="s">
        <v>266</v>
      </c>
      <c r="D28" s="581"/>
      <c r="E28" s="342">
        <v>0</v>
      </c>
      <c r="G28" s="311"/>
      <c r="H28" s="580" t="s">
        <v>323</v>
      </c>
      <c r="I28" s="581"/>
      <c r="J28" s="341">
        <v>0</v>
      </c>
      <c r="L28" s="310"/>
      <c r="M28" s="589" t="s">
        <v>195</v>
      </c>
      <c r="N28" s="590"/>
      <c r="O28" s="341">
        <v>0</v>
      </c>
    </row>
    <row r="29" spans="2:18" ht="13.5">
      <c r="B29" s="310"/>
      <c r="C29" s="580" t="s">
        <v>267</v>
      </c>
      <c r="D29" s="581"/>
      <c r="E29" s="342">
        <v>0</v>
      </c>
      <c r="G29" s="311"/>
      <c r="H29" s="580" t="s">
        <v>182</v>
      </c>
      <c r="I29" s="581"/>
      <c r="J29" s="341">
        <v>0</v>
      </c>
      <c r="L29" s="310"/>
      <c r="M29" s="589" t="s">
        <v>155</v>
      </c>
      <c r="N29" s="590"/>
      <c r="O29" s="341">
        <v>0</v>
      </c>
    </row>
    <row r="30" spans="2:18" ht="13.5">
      <c r="B30" s="310"/>
      <c r="C30" s="580" t="s">
        <v>322</v>
      </c>
      <c r="D30" s="581"/>
      <c r="E30" s="342">
        <v>0</v>
      </c>
      <c r="G30" s="311"/>
      <c r="H30" s="580" t="s">
        <v>324</v>
      </c>
      <c r="I30" s="581"/>
      <c r="J30" s="341">
        <v>0</v>
      </c>
      <c r="L30" s="309" t="s">
        <v>270</v>
      </c>
      <c r="M30" s="584" t="s">
        <v>338</v>
      </c>
      <c r="N30" s="585"/>
      <c r="O30" s="341">
        <v>0</v>
      </c>
    </row>
    <row r="31" spans="2:18" ht="14.25" thickBot="1">
      <c r="B31" s="312"/>
      <c r="C31" s="578" t="s">
        <v>364</v>
      </c>
      <c r="D31" s="579"/>
      <c r="E31" s="343">
        <v>0</v>
      </c>
      <c r="G31" s="311"/>
      <c r="H31" s="580" t="s">
        <v>325</v>
      </c>
      <c r="I31" s="581"/>
      <c r="J31" s="341">
        <v>0</v>
      </c>
      <c r="L31" s="311"/>
      <c r="M31" s="584" t="s">
        <v>339</v>
      </c>
      <c r="N31" s="585"/>
      <c r="O31" s="341">
        <v>0</v>
      </c>
    </row>
    <row r="32" spans="2:18" ht="13.5">
      <c r="G32" s="311"/>
      <c r="H32" s="580" t="s">
        <v>184</v>
      </c>
      <c r="I32" s="581"/>
      <c r="J32" s="341">
        <v>0</v>
      </c>
      <c r="L32" s="311"/>
      <c r="M32" s="584" t="s">
        <v>340</v>
      </c>
      <c r="N32" s="585"/>
      <c r="O32" s="341">
        <v>0</v>
      </c>
    </row>
    <row r="33" spans="7:15" ht="13.5">
      <c r="G33" s="311"/>
      <c r="H33" s="580" t="s">
        <v>326</v>
      </c>
      <c r="I33" s="581"/>
      <c r="J33" s="341">
        <v>0</v>
      </c>
      <c r="L33" s="311"/>
      <c r="M33" s="582" t="s">
        <v>155</v>
      </c>
      <c r="N33" s="583"/>
      <c r="O33" s="341">
        <v>0</v>
      </c>
    </row>
    <row r="34" spans="7:15" ht="13.5">
      <c r="G34" s="311"/>
      <c r="H34" s="580" t="s">
        <v>265</v>
      </c>
      <c r="I34" s="581"/>
      <c r="J34" s="341">
        <v>0</v>
      </c>
      <c r="L34" s="308" t="s">
        <v>271</v>
      </c>
      <c r="M34" s="584" t="s">
        <v>156</v>
      </c>
      <c r="N34" s="585"/>
      <c r="O34" s="341">
        <v>0</v>
      </c>
    </row>
    <row r="35" spans="7:15" ht="14.25" customHeight="1">
      <c r="G35" s="311"/>
      <c r="H35" s="580" t="s">
        <v>186</v>
      </c>
      <c r="I35" s="581"/>
      <c r="J35" s="341">
        <v>0</v>
      </c>
      <c r="L35" s="310"/>
      <c r="M35" s="584" t="s">
        <v>185</v>
      </c>
      <c r="N35" s="585"/>
      <c r="O35" s="341">
        <v>0</v>
      </c>
    </row>
    <row r="36" spans="7:15" ht="13.5">
      <c r="G36" s="311"/>
      <c r="H36" s="580" t="s">
        <v>187</v>
      </c>
      <c r="I36" s="581"/>
      <c r="J36" s="341">
        <v>0</v>
      </c>
      <c r="L36" s="310"/>
      <c r="M36" s="584" t="s">
        <v>334</v>
      </c>
      <c r="N36" s="585"/>
      <c r="O36" s="341">
        <v>0</v>
      </c>
    </row>
    <row r="37" spans="7:15" ht="13.5">
      <c r="G37" s="311"/>
      <c r="H37" s="580" t="s">
        <v>464</v>
      </c>
      <c r="I37" s="581"/>
      <c r="J37" s="341">
        <v>0</v>
      </c>
      <c r="L37" s="310"/>
      <c r="M37" s="584" t="s">
        <v>341</v>
      </c>
      <c r="N37" s="585"/>
      <c r="O37" s="341">
        <v>0</v>
      </c>
    </row>
    <row r="38" spans="7:15" ht="13.5">
      <c r="G38" s="311"/>
      <c r="H38" s="580" t="s">
        <v>195</v>
      </c>
      <c r="I38" s="581"/>
      <c r="J38" s="341">
        <v>0</v>
      </c>
      <c r="L38" s="310"/>
      <c r="M38" s="584" t="s">
        <v>336</v>
      </c>
      <c r="N38" s="585"/>
      <c r="O38" s="341">
        <v>0</v>
      </c>
    </row>
    <row r="39" spans="7:15" ht="13.5">
      <c r="G39" s="311"/>
      <c r="H39" s="580" t="s">
        <v>155</v>
      </c>
      <c r="I39" s="581"/>
      <c r="J39" s="341">
        <v>0</v>
      </c>
      <c r="L39" s="310"/>
      <c r="M39" s="584" t="s">
        <v>337</v>
      </c>
      <c r="N39" s="585"/>
      <c r="O39" s="341">
        <v>0</v>
      </c>
    </row>
    <row r="40" spans="7:15" ht="13.5">
      <c r="G40" s="308" t="s">
        <v>251</v>
      </c>
      <c r="H40" s="580" t="s">
        <v>153</v>
      </c>
      <c r="I40" s="581"/>
      <c r="J40" s="341">
        <v>0</v>
      </c>
      <c r="L40" s="310"/>
      <c r="M40" s="584" t="s">
        <v>195</v>
      </c>
      <c r="N40" s="585"/>
      <c r="O40" s="341">
        <v>0</v>
      </c>
    </row>
    <row r="41" spans="7:15" ht="13.5">
      <c r="G41" s="310"/>
      <c r="H41" s="580" t="s">
        <v>327</v>
      </c>
      <c r="I41" s="581"/>
      <c r="J41" s="341">
        <v>0</v>
      </c>
      <c r="L41" s="310"/>
      <c r="M41" s="582" t="s">
        <v>155</v>
      </c>
      <c r="N41" s="583"/>
      <c r="O41" s="341">
        <v>0</v>
      </c>
    </row>
    <row r="42" spans="7:15" ht="13.5">
      <c r="G42" s="310"/>
      <c r="H42" s="580" t="s">
        <v>328</v>
      </c>
      <c r="I42" s="581"/>
      <c r="J42" s="341">
        <v>0</v>
      </c>
      <c r="L42" s="308" t="s">
        <v>272</v>
      </c>
      <c r="M42" s="584" t="s">
        <v>338</v>
      </c>
      <c r="N42" s="585"/>
      <c r="O42" s="341">
        <v>0</v>
      </c>
    </row>
    <row r="43" spans="7:15" ht="13.5">
      <c r="G43" s="310"/>
      <c r="H43" s="580" t="s">
        <v>252</v>
      </c>
      <c r="I43" s="581"/>
      <c r="J43" s="341">
        <v>0</v>
      </c>
      <c r="L43" s="310"/>
      <c r="M43" s="584" t="s">
        <v>342</v>
      </c>
      <c r="N43" s="585"/>
      <c r="O43" s="341">
        <v>0</v>
      </c>
    </row>
    <row r="44" spans="7:15" ht="13.5">
      <c r="G44" s="310"/>
      <c r="H44" s="580" t="s">
        <v>329</v>
      </c>
      <c r="I44" s="581"/>
      <c r="J44" s="341">
        <v>0</v>
      </c>
      <c r="L44" s="310"/>
      <c r="M44" s="584" t="s">
        <v>343</v>
      </c>
      <c r="N44" s="585"/>
      <c r="O44" s="341">
        <v>0</v>
      </c>
    </row>
    <row r="45" spans="7:15" ht="13.5">
      <c r="G45" s="310"/>
      <c r="H45" s="580" t="s">
        <v>253</v>
      </c>
      <c r="I45" s="581"/>
      <c r="J45" s="341">
        <v>0</v>
      </c>
      <c r="L45" s="310"/>
      <c r="M45" s="584" t="s">
        <v>344</v>
      </c>
      <c r="N45" s="585"/>
      <c r="O45" s="341">
        <v>0</v>
      </c>
    </row>
    <row r="46" spans="7:15" ht="13.5">
      <c r="G46" s="310"/>
      <c r="H46" s="580" t="s">
        <v>254</v>
      </c>
      <c r="I46" s="581"/>
      <c r="J46" s="341">
        <v>0</v>
      </c>
      <c r="L46" s="310"/>
      <c r="M46" s="584" t="s">
        <v>155</v>
      </c>
      <c r="N46" s="585"/>
      <c r="O46" s="341">
        <v>0</v>
      </c>
    </row>
    <row r="47" spans="7:15" ht="13.5">
      <c r="G47" s="310"/>
      <c r="H47" s="580" t="s">
        <v>330</v>
      </c>
      <c r="I47" s="581"/>
      <c r="J47" s="341">
        <v>0</v>
      </c>
      <c r="L47" s="308" t="s">
        <v>273</v>
      </c>
      <c r="M47" s="584" t="s">
        <v>156</v>
      </c>
      <c r="N47" s="585"/>
      <c r="O47" s="341">
        <v>0</v>
      </c>
    </row>
    <row r="48" spans="7:15" ht="13.5">
      <c r="G48" s="310"/>
      <c r="H48" s="580" t="s">
        <v>255</v>
      </c>
      <c r="I48" s="581"/>
      <c r="J48" s="341">
        <v>0</v>
      </c>
      <c r="L48" s="310"/>
      <c r="M48" s="584" t="s">
        <v>185</v>
      </c>
      <c r="N48" s="585"/>
      <c r="O48" s="341">
        <v>0</v>
      </c>
    </row>
    <row r="49" spans="7:15" ht="13.5" customHeight="1">
      <c r="G49" s="310"/>
      <c r="H49" s="580" t="s">
        <v>256</v>
      </c>
      <c r="I49" s="581"/>
      <c r="J49" s="341">
        <v>0</v>
      </c>
      <c r="L49" s="310"/>
      <c r="M49" s="584" t="s">
        <v>334</v>
      </c>
      <c r="N49" s="585"/>
      <c r="O49" s="341">
        <v>0</v>
      </c>
    </row>
    <row r="50" spans="7:15" ht="13.5">
      <c r="G50" s="310"/>
      <c r="H50" s="580" t="s">
        <v>322</v>
      </c>
      <c r="I50" s="581"/>
      <c r="J50" s="341">
        <v>0</v>
      </c>
      <c r="L50" s="310"/>
      <c r="M50" s="584" t="s">
        <v>345</v>
      </c>
      <c r="N50" s="585"/>
      <c r="O50" s="341">
        <v>0</v>
      </c>
    </row>
    <row r="51" spans="7:15" ht="13.5">
      <c r="G51" s="310"/>
      <c r="H51" s="580" t="s">
        <v>195</v>
      </c>
      <c r="I51" s="581"/>
      <c r="J51" s="341">
        <v>0</v>
      </c>
      <c r="L51" s="310"/>
      <c r="M51" s="584" t="s">
        <v>183</v>
      </c>
      <c r="N51" s="585"/>
      <c r="O51" s="341">
        <v>0</v>
      </c>
    </row>
    <row r="52" spans="7:15" ht="13.5">
      <c r="G52" s="310"/>
      <c r="H52" s="580" t="s">
        <v>155</v>
      </c>
      <c r="I52" s="581"/>
      <c r="J52" s="341">
        <v>0</v>
      </c>
      <c r="L52" s="310"/>
      <c r="M52" s="584" t="s">
        <v>336</v>
      </c>
      <c r="N52" s="585"/>
      <c r="O52" s="341">
        <v>0</v>
      </c>
    </row>
    <row r="53" spans="7:15" ht="13.5">
      <c r="G53" s="308" t="s">
        <v>257</v>
      </c>
      <c r="H53" s="580" t="s">
        <v>331</v>
      </c>
      <c r="I53" s="581"/>
      <c r="J53" s="341">
        <v>0</v>
      </c>
      <c r="L53" s="310"/>
      <c r="M53" s="584" t="s">
        <v>337</v>
      </c>
      <c r="N53" s="585"/>
      <c r="O53" s="341">
        <v>0</v>
      </c>
    </row>
    <row r="54" spans="7:15" ht="13.5">
      <c r="G54" s="310"/>
      <c r="H54" s="580" t="s">
        <v>332</v>
      </c>
      <c r="I54" s="581"/>
      <c r="J54" s="341">
        <v>0</v>
      </c>
      <c r="L54" s="310"/>
      <c r="M54" s="582" t="s">
        <v>195</v>
      </c>
      <c r="N54" s="583"/>
      <c r="O54" s="341">
        <v>0</v>
      </c>
    </row>
    <row r="55" spans="7:15" ht="13.5">
      <c r="G55" s="310"/>
      <c r="H55" s="580" t="s">
        <v>258</v>
      </c>
      <c r="I55" s="581"/>
      <c r="J55" s="341">
        <v>0</v>
      </c>
      <c r="L55" s="310"/>
      <c r="M55" s="582" t="s">
        <v>155</v>
      </c>
      <c r="N55" s="583"/>
      <c r="O55" s="341">
        <v>0</v>
      </c>
    </row>
    <row r="56" spans="7:15" ht="13.5">
      <c r="G56" s="310"/>
      <c r="H56" s="580" t="s">
        <v>259</v>
      </c>
      <c r="I56" s="581"/>
      <c r="J56" s="341">
        <v>0</v>
      </c>
      <c r="L56" s="308" t="s">
        <v>274</v>
      </c>
      <c r="M56" s="584" t="s">
        <v>338</v>
      </c>
      <c r="N56" s="585"/>
      <c r="O56" s="341">
        <v>0</v>
      </c>
    </row>
    <row r="57" spans="7:15" ht="13.5" customHeight="1">
      <c r="G57" s="310"/>
      <c r="H57" s="580" t="s">
        <v>322</v>
      </c>
      <c r="I57" s="581"/>
      <c r="J57" s="341">
        <v>0</v>
      </c>
      <c r="L57" s="310"/>
      <c r="M57" s="584" t="s">
        <v>346</v>
      </c>
      <c r="N57" s="585"/>
      <c r="O57" s="341">
        <v>0</v>
      </c>
    </row>
    <row r="58" spans="7:15" ht="13.5">
      <c r="G58" s="310"/>
      <c r="H58" s="580" t="s">
        <v>195</v>
      </c>
      <c r="I58" s="581"/>
      <c r="J58" s="341">
        <v>0</v>
      </c>
      <c r="L58" s="310"/>
      <c r="M58" s="584" t="s">
        <v>347</v>
      </c>
      <c r="N58" s="585"/>
      <c r="O58" s="341">
        <v>0</v>
      </c>
    </row>
    <row r="59" spans="7:15" ht="14.25" thickBot="1">
      <c r="G59" s="310"/>
      <c r="H59" s="580" t="s">
        <v>155</v>
      </c>
      <c r="I59" s="581"/>
      <c r="J59" s="341">
        <v>0</v>
      </c>
      <c r="L59" s="312"/>
      <c r="M59" s="591" t="s">
        <v>155</v>
      </c>
      <c r="N59" s="592"/>
      <c r="O59" s="345">
        <v>0</v>
      </c>
    </row>
    <row r="60" spans="7:15" ht="12" customHeight="1">
      <c r="G60" s="308" t="s">
        <v>197</v>
      </c>
      <c r="H60" s="580" t="s">
        <v>154</v>
      </c>
      <c r="I60" s="581"/>
      <c r="J60" s="341">
        <v>0</v>
      </c>
    </row>
    <row r="61" spans="7:15" ht="12" customHeight="1">
      <c r="G61" s="310"/>
      <c r="H61" s="580" t="s">
        <v>333</v>
      </c>
      <c r="I61" s="581"/>
      <c r="J61" s="341">
        <v>0</v>
      </c>
    </row>
    <row r="62" spans="7:15" ht="12" customHeight="1">
      <c r="G62" s="310"/>
      <c r="H62" s="580" t="s">
        <v>322</v>
      </c>
      <c r="I62" s="581"/>
      <c r="J62" s="341">
        <v>0</v>
      </c>
    </row>
    <row r="63" spans="7:15" ht="14.25" customHeight="1">
      <c r="G63" s="310"/>
      <c r="H63" s="580" t="s">
        <v>195</v>
      </c>
      <c r="I63" s="581"/>
      <c r="J63" s="341">
        <v>0</v>
      </c>
    </row>
    <row r="64" spans="7:15" ht="14.25" customHeight="1" thickBot="1">
      <c r="G64" s="312"/>
      <c r="H64" s="578" t="s">
        <v>155</v>
      </c>
      <c r="I64" s="579"/>
      <c r="J64" s="345">
        <v>0</v>
      </c>
    </row>
    <row r="65" ht="14.25" customHeight="1"/>
  </sheetData>
  <mergeCells count="94">
    <mergeCell ref="M59:N59"/>
    <mergeCell ref="M58:N58"/>
    <mergeCell ref="M56:N56"/>
    <mergeCell ref="M57:N57"/>
    <mergeCell ref="M50:N50"/>
    <mergeCell ref="M51:N51"/>
    <mergeCell ref="M52:N52"/>
    <mergeCell ref="M53:N53"/>
    <mergeCell ref="M45:N45"/>
    <mergeCell ref="M54:N54"/>
    <mergeCell ref="M55:N55"/>
    <mergeCell ref="M47:N47"/>
    <mergeCell ref="M48:N48"/>
    <mergeCell ref="M49:N49"/>
    <mergeCell ref="M46:N46"/>
    <mergeCell ref="M40:N40"/>
    <mergeCell ref="M41:N41"/>
    <mergeCell ref="M42:N42"/>
    <mergeCell ref="H43:I43"/>
    <mergeCell ref="H44:I44"/>
    <mergeCell ref="M43:N43"/>
    <mergeCell ref="H40:I40"/>
    <mergeCell ref="H41:I41"/>
    <mergeCell ref="H42:I42"/>
    <mergeCell ref="M44:N44"/>
    <mergeCell ref="M38:N38"/>
    <mergeCell ref="M39:N39"/>
    <mergeCell ref="M21:N21"/>
    <mergeCell ref="H36:I36"/>
    <mergeCell ref="H37:I37"/>
    <mergeCell ref="M37:N37"/>
    <mergeCell ref="M34:N34"/>
    <mergeCell ref="M28:N28"/>
    <mergeCell ref="H32:I32"/>
    <mergeCell ref="H33:I33"/>
    <mergeCell ref="H38:I38"/>
    <mergeCell ref="M36:N36"/>
    <mergeCell ref="M29:N29"/>
    <mergeCell ref="M30:N30"/>
    <mergeCell ref="M31:N31"/>
    <mergeCell ref="M32:N32"/>
    <mergeCell ref="H27:I27"/>
    <mergeCell ref="H26:I26"/>
    <mergeCell ref="C27:D27"/>
    <mergeCell ref="H63:I63"/>
    <mergeCell ref="M22:N22"/>
    <mergeCell ref="M23:N23"/>
    <mergeCell ref="M24:N24"/>
    <mergeCell ref="M25:N25"/>
    <mergeCell ref="M26:N26"/>
    <mergeCell ref="M27:N27"/>
    <mergeCell ref="H52:I52"/>
    <mergeCell ref="H53:I53"/>
    <mergeCell ref="H54:I54"/>
    <mergeCell ref="H60:I60"/>
    <mergeCell ref="H61:I61"/>
    <mergeCell ref="H62:I62"/>
    <mergeCell ref="M33:N33"/>
    <mergeCell ref="M35:N35"/>
    <mergeCell ref="C21:D21"/>
    <mergeCell ref="C22:D22"/>
    <mergeCell ref="C23:D23"/>
    <mergeCell ref="H31:I31"/>
    <mergeCell ref="H22:I22"/>
    <mergeCell ref="H28:I28"/>
    <mergeCell ref="H29:I29"/>
    <mergeCell ref="H21:I21"/>
    <mergeCell ref="C24:D24"/>
    <mergeCell ref="C25:D25"/>
    <mergeCell ref="C26:D26"/>
    <mergeCell ref="H25:I25"/>
    <mergeCell ref="H24:I24"/>
    <mergeCell ref="H23:I23"/>
    <mergeCell ref="C28:D28"/>
    <mergeCell ref="C29:D29"/>
    <mergeCell ref="C30:D30"/>
    <mergeCell ref="C31:D31"/>
    <mergeCell ref="H34:I34"/>
    <mergeCell ref="H64:I64"/>
    <mergeCell ref="H35:I35"/>
    <mergeCell ref="H39:I39"/>
    <mergeCell ref="H30:I30"/>
    <mergeCell ref="H59:I59"/>
    <mergeCell ref="H55:I55"/>
    <mergeCell ref="H56:I56"/>
    <mergeCell ref="H57:I57"/>
    <mergeCell ref="H58:I58"/>
    <mergeCell ref="H46:I46"/>
    <mergeCell ref="H49:I49"/>
    <mergeCell ref="H50:I50"/>
    <mergeCell ref="H51:I51"/>
    <mergeCell ref="H47:I47"/>
    <mergeCell ref="H48:I48"/>
    <mergeCell ref="H45:I45"/>
  </mergeCells>
  <phoneticPr fontId="4"/>
  <pageMargins left="0.75" right="0.75" top="1" bottom="1" header="0.51200000000000001" footer="0.51200000000000001"/>
  <pageSetup paperSize="9" scale="47" orientation="portrait" horizontalDpi="300" verticalDpi="300" r:id="rId1"/>
  <headerFooter alignWithMargins="0"/>
  <drawing r:id="rId2"/>
  <legacyDrawing r:id="rId3"/>
  <controls>
    <mc:AlternateContent xmlns:mc="http://schemas.openxmlformats.org/markup-compatibility/2006">
      <mc:Choice Requires="x14">
        <control shapeId="766979" r:id="rId4" name="CommandButton1">
          <controlPr defaultSize="0" autoLine="0" r:id="rId5">
            <anchor moveWithCells="1">
              <from>
                <xdr:col>3</xdr:col>
                <xdr:colOff>657225</xdr:colOff>
                <xdr:row>16</xdr:row>
                <xdr:rowOff>133350</xdr:rowOff>
              </from>
              <to>
                <xdr:col>5</xdr:col>
                <xdr:colOff>485775</xdr:colOff>
                <xdr:row>19</xdr:row>
                <xdr:rowOff>19050</xdr:rowOff>
              </to>
            </anchor>
          </controlPr>
        </control>
      </mc:Choice>
      <mc:Fallback>
        <control shapeId="766979"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outlinePr summaryBelow="0" summaryRight="0"/>
    <pageSetUpPr autoPageBreaks="0"/>
  </sheetPr>
  <dimension ref="A1:AS55"/>
  <sheetViews>
    <sheetView showGridLines="0" zoomScaleNormal="100" workbookViewId="0"/>
  </sheetViews>
  <sheetFormatPr defaultRowHeight="11.25" outlineLevelRow="1"/>
  <cols>
    <col min="1" max="1" width="5.375" style="4" customWidth="1"/>
    <col min="2" max="3" width="9.5" style="4" customWidth="1"/>
    <col min="4" max="4" width="10" style="4" customWidth="1"/>
    <col min="5" max="5" width="9.5" style="4" customWidth="1"/>
    <col min="6" max="6" width="9.625" style="4" customWidth="1"/>
    <col min="7" max="7" width="11.75" style="4" customWidth="1"/>
    <col min="8" max="9" width="9.625" style="4" customWidth="1"/>
    <col min="10" max="10" width="10.875" style="4" customWidth="1"/>
    <col min="11" max="12" width="9.375" style="4" customWidth="1"/>
    <col min="13" max="14" width="10.875" style="4" bestFit="1" customWidth="1"/>
    <col min="15" max="15" width="12.625" style="4" customWidth="1"/>
    <col min="16" max="20" width="9.375" style="4" customWidth="1"/>
    <col min="21" max="21" width="44.75" style="4" customWidth="1"/>
    <col min="22" max="23" width="7.125" style="4" customWidth="1"/>
    <col min="24" max="24" width="7.25" style="4" customWidth="1"/>
    <col min="25" max="25" width="7.875" style="4" customWidth="1"/>
    <col min="26" max="26" width="41.5" style="4" customWidth="1"/>
    <col min="27" max="27" width="24.5" style="4" customWidth="1"/>
    <col min="28" max="30" width="6.75" style="4" customWidth="1"/>
    <col min="31" max="31" width="7.75" style="4" customWidth="1"/>
    <col min="32" max="32" width="7.25" style="4" customWidth="1"/>
    <col min="33" max="33" width="22.125" style="4" customWidth="1"/>
    <col min="34" max="40" width="9.375" style="4" customWidth="1"/>
    <col min="41" max="16384" width="9" style="4"/>
  </cols>
  <sheetData>
    <row r="1" spans="1:24" ht="26.25" thickBot="1">
      <c r="A1" s="7" t="s">
        <v>177</v>
      </c>
      <c r="B1" s="3"/>
      <c r="P1" s="5" t="s">
        <v>275</v>
      </c>
    </row>
    <row r="2" spans="1:24" s="9" customFormat="1" ht="12" customHeight="1" thickBot="1">
      <c r="A2" s="8"/>
      <c r="B2" s="8"/>
      <c r="E2" s="11" t="s">
        <v>276</v>
      </c>
      <c r="F2" s="10" t="str">
        <f ca="1">IF(F3="未実施","未実施",IF(F3="未計画","未計画",IF(F5="未","処置中",IF(J7="有","未記入あり",IF(F6="可",IF(C4="","承認待ち","承認済"),"実施待ち")))))</f>
        <v>未計画</v>
      </c>
      <c r="G2" s="429" t="s">
        <v>231</v>
      </c>
      <c r="H2" s="11"/>
      <c r="I2" s="430" t="s">
        <v>26</v>
      </c>
      <c r="J2" s="430"/>
      <c r="K2" s="11" t="s">
        <v>102</v>
      </c>
      <c r="L2" s="431"/>
      <c r="M2" s="430" t="s">
        <v>407</v>
      </c>
      <c r="N2" s="430"/>
      <c r="O2" s="11"/>
      <c r="P2" s="11"/>
      <c r="Q2" s="11" t="s">
        <v>445</v>
      </c>
      <c r="R2" s="11"/>
      <c r="S2" s="11"/>
    </row>
    <row r="3" spans="1:24" s="9" customFormat="1" ht="12" customHeight="1" thickBot="1">
      <c r="A3" s="8"/>
      <c r="B3" s="77" t="s">
        <v>31</v>
      </c>
      <c r="C3" s="77" t="s">
        <v>44</v>
      </c>
      <c r="E3" s="71" t="s">
        <v>107</v>
      </c>
      <c r="F3" s="12" t="str">
        <f ca="1">IF(COUNTIF(T30:T34,"未実施")&lt;&gt;0,"未実施",IF(COUNTIF(S30:S34,"未計画")&lt;&gt;0,"未計画","正常"))</f>
        <v>未計画</v>
      </c>
      <c r="G3" s="71" t="s">
        <v>277</v>
      </c>
      <c r="H3" s="13">
        <f>COUNTIF(E50:E55,G3)</f>
        <v>0</v>
      </c>
      <c r="I3" s="71" t="s">
        <v>41</v>
      </c>
      <c r="J3" s="14">
        <f>COUNTIF($S$50:$S$55,"はい")</f>
        <v>0</v>
      </c>
      <c r="K3" s="71" t="s">
        <v>103</v>
      </c>
      <c r="L3" s="15" t="str">
        <f>IF(COUNTIF(K42:K46,"×")&lt;&gt;0,"未","済")</f>
        <v>済</v>
      </c>
      <c r="M3" s="432" t="s">
        <v>409</v>
      </c>
      <c r="N3" s="14">
        <f>SUMPRODUCT(($S30:$S34="未計画")*1)+(SUMPRODUCT(($S30:$S34&lt;&gt;"未計画")*($B30:$B34&lt;&gt;""))-SUMPRODUCT(($S30:$S34&lt;&gt;"未計画")*($B30:$B34&lt;&gt;"")*($C30:$C34&lt;&gt;"")*($D30:$D34&lt;&gt;"")*($G30:$G34&lt;&gt;"")*($H30:$H34&lt;&gt;"")*($I30:$I34&lt;&gt;"")))</f>
        <v>1</v>
      </c>
      <c r="O3" s="432" t="s">
        <v>410</v>
      </c>
      <c r="P3" s="14">
        <f>SUMPRODUCT(($K$50:$K$55&lt;&gt;"")*1)-(SUMPRODUCT(($K$50:$K$55&lt;&gt;"")*($S$50:$S$55="はい")*($T$50:$T$55&lt;&gt;"")*($U$50:$U$55&lt;&gt;"")*($V$50:$V$55&lt;&gt;""))+SUMPRODUCT(($K$50:$K$55&lt;&gt;"")*($S$50:$S$55="いいえ")*($U$50:$U$55&lt;&gt;"")))</f>
        <v>0</v>
      </c>
      <c r="Q3" s="175"/>
      <c r="R3" s="470" t="s">
        <v>446</v>
      </c>
      <c r="S3" s="471" t="s">
        <v>447</v>
      </c>
      <c r="V3" s="11" t="s">
        <v>562</v>
      </c>
    </row>
    <row r="4" spans="1:24" s="9" customFormat="1" ht="12" customHeight="1" thickBot="1">
      <c r="A4" s="8"/>
      <c r="B4" s="661">
        <f>レビュー管理!G11</f>
        <v>0</v>
      </c>
      <c r="C4" s="670"/>
      <c r="E4" s="72" t="s">
        <v>439</v>
      </c>
      <c r="F4" s="16" t="str">
        <f>IF(COUNTIF(R30:R34,"終了")=0,"継続","終了")</f>
        <v>継続</v>
      </c>
      <c r="G4" s="73" t="s">
        <v>104</v>
      </c>
      <c r="H4" s="17">
        <f>COUNTIF(E50:E55,G4)</f>
        <v>0</v>
      </c>
      <c r="I4" s="72" t="s">
        <v>9</v>
      </c>
      <c r="J4" s="17">
        <f>SUMPRODUCT(($S$50:$S$55="はい")*($AE$50:$AE$55&lt;&gt;"ＯＫ"))</f>
        <v>0</v>
      </c>
      <c r="K4" s="74" t="s">
        <v>83</v>
      </c>
      <c r="L4" s="18" t="str">
        <f>IF(COUNTIF(G21:G24,"")=0,AVERAGE(G21:G24),"未")</f>
        <v>未</v>
      </c>
      <c r="M4" s="433" t="s">
        <v>408</v>
      </c>
      <c r="N4" s="17">
        <f ca="1">SUMPRODUCT(($B30:$B34&lt;&gt;"")*($B30:$B34&lt;&gt;DATE(1900,1,0))*($B30:$B34&lt;TODAY()))-SUMPRODUCT(($B30:$B34&lt;&gt;"")*($B30:$B34&lt;&gt;DATE(1900,1,0))*($B30:$B34&lt;TODAY())*($J30:$J34&lt;&gt;"")*($K30:$K34&lt;&gt;"")*($L30:$L34&lt;&gt;"")*($O30:$O34&lt;&gt;"")*($P30:$P34&lt;&gt;"")*($Q30:$Q34&lt;&gt;""))</f>
        <v>0</v>
      </c>
      <c r="O4" s="433" t="s">
        <v>411</v>
      </c>
      <c r="P4" s="17">
        <f>SUMPRODUCT(($K$50:$K$55&lt;&gt;"")*($S$50:$S$55="はい")*($T$50:$T$55&lt;&gt;"")*($U$50:$U$55&lt;&gt;"")*($V$50:$V$55&lt;&gt;"")*($X$50:$X$55=""))+SUMPRODUCT(($K$50:$K$55&lt;&gt;"")*($S$50:$S$55="否")*($U$50:$U$55&lt;&gt;"")*($X$50:$X$55=""))</f>
        <v>0</v>
      </c>
      <c r="Q4" s="176" t="s">
        <v>97</v>
      </c>
      <c r="R4" s="436">
        <f>記録_レビュー時間</f>
        <v>0</v>
      </c>
      <c r="S4" s="437">
        <f>E21</f>
        <v>0</v>
      </c>
      <c r="V4" s="9">
        <f>COUNTIF(H50:I55,"[文章]*")</f>
        <v>0</v>
      </c>
    </row>
    <row r="5" spans="1:24" s="9" customFormat="1" ht="12" customHeight="1" thickBot="1">
      <c r="A5" s="8"/>
      <c r="B5" s="662"/>
      <c r="C5" s="671"/>
      <c r="E5" s="72" t="s">
        <v>440</v>
      </c>
      <c r="F5" s="19" t="str">
        <f>IF(J4=0,"済","未")</f>
        <v>済</v>
      </c>
      <c r="G5" s="156" t="s">
        <v>383</v>
      </c>
      <c r="H5" s="157">
        <f>COUNTIF(J50:J55,"○")</f>
        <v>0</v>
      </c>
      <c r="I5" s="72" t="s">
        <v>32</v>
      </c>
      <c r="J5" s="17">
        <f>COUNTIF($S$50:$S$55,I5)</f>
        <v>0</v>
      </c>
      <c r="K5" s="11" t="s">
        <v>94</v>
      </c>
      <c r="M5" s="433" t="s">
        <v>414</v>
      </c>
      <c r="N5" s="17">
        <f>SUMPRODUCT(($J30:$J34&lt;&gt;"")*($K30:$K34&lt;&gt;"")*($L30:$L34&lt;&gt;"")*($O30:$O34&lt;&gt;"")*($P30:$P34&lt;&gt;"")*($Q30:$Q34&lt;&gt;"")*($R30:$R34=""))</f>
        <v>0</v>
      </c>
      <c r="O5" s="433" t="s">
        <v>412</v>
      </c>
      <c r="P5" s="17">
        <f ca="1">SUMPRODUCT(($V$50:$V$55&lt;&gt;"")*($V$50:$V$55&lt;TODAY()))-SUMPRODUCT(($V$50:$V$55&lt;&gt;"")*($V$50:$V$55&lt;TODAY())*($Z$50:$Z$55&lt;&gt;"")*($AA$50:$AA$55&lt;&gt;"")*($AB$50:$AB$55&lt;&gt;"")*($AD$50:$AD$55="完了"))</f>
        <v>0</v>
      </c>
      <c r="Q5" s="176" t="s">
        <v>448</v>
      </c>
      <c r="R5" s="436">
        <f>記録_作成工数</f>
        <v>0</v>
      </c>
      <c r="S5" s="437">
        <f>E22</f>
        <v>0</v>
      </c>
    </row>
    <row r="6" spans="1:24" s="9" customFormat="1" ht="12" customHeight="1">
      <c r="A6" s="8"/>
      <c r="B6" s="662"/>
      <c r="C6" s="671"/>
      <c r="E6" s="72" t="s">
        <v>441</v>
      </c>
      <c r="F6" s="19" t="str">
        <f>IF(AND(F4="終了",F5="済",J7="無"),"可","不可")</f>
        <v>不可</v>
      </c>
      <c r="G6" s="72" t="s">
        <v>97</v>
      </c>
      <c r="H6" s="20">
        <f>E21</f>
        <v>0</v>
      </c>
      <c r="I6" s="75" t="s">
        <v>63</v>
      </c>
      <c r="J6" s="21">
        <f>COUNTIF($S$50:$S$55,"否")</f>
        <v>0</v>
      </c>
      <c r="K6" s="428" t="s">
        <v>91</v>
      </c>
      <c r="L6" s="22">
        <f>E23</f>
        <v>0</v>
      </c>
      <c r="M6" s="434"/>
      <c r="N6" s="161"/>
      <c r="O6" s="433" t="s">
        <v>413</v>
      </c>
      <c r="P6" s="21">
        <f>SUMPRODUCT(($Z$50:$Z$55&lt;&gt;"")*($AA$50:$AA$55&lt;&gt;"")*($AB$50:$AB$55&lt;&gt;"")*($AD$50:$AD$55="完了")*($AE$50:$AE$55=""))</f>
        <v>0</v>
      </c>
      <c r="Q6" s="176" t="s">
        <v>100</v>
      </c>
      <c r="R6" s="436">
        <f>記録_成果量</f>
        <v>0</v>
      </c>
      <c r="S6" s="437">
        <f>E23</f>
        <v>0</v>
      </c>
    </row>
    <row r="7" spans="1:24" s="9" customFormat="1" ht="12" customHeight="1" thickBot="1">
      <c r="A7" s="8"/>
      <c r="B7" s="663"/>
      <c r="C7" s="672"/>
      <c r="E7" s="166"/>
      <c r="F7" s="167"/>
      <c r="G7" s="23"/>
      <c r="H7" s="24"/>
      <c r="I7" s="74" t="s">
        <v>20</v>
      </c>
      <c r="J7" s="25" t="str">
        <f>IF(AND(COUNTIF(AF50:AF55,"記入漏")=0,L3&lt;&gt;"未"),"無","有")</f>
        <v>無</v>
      </c>
      <c r="K7" s="76" t="s">
        <v>50</v>
      </c>
      <c r="L7" s="26">
        <f>E22</f>
        <v>0</v>
      </c>
      <c r="M7" s="435"/>
      <c r="N7" s="162"/>
      <c r="O7" s="435"/>
      <c r="P7" s="162"/>
      <c r="Q7" s="177" t="s">
        <v>449</v>
      </c>
      <c r="R7" s="438">
        <f>記録_不具合件数</f>
        <v>0</v>
      </c>
      <c r="S7" s="439">
        <f>E24</f>
        <v>0</v>
      </c>
    </row>
    <row r="8" spans="1:24" s="9" customFormat="1" ht="12" customHeight="1">
      <c r="A8" s="8"/>
      <c r="B8" s="8"/>
      <c r="V8" s="27"/>
      <c r="W8" s="27"/>
      <c r="X8" s="27"/>
    </row>
    <row r="9" spans="1:24" s="9" customFormat="1" ht="14.25" thickBot="1">
      <c r="A9" s="57" t="s">
        <v>77</v>
      </c>
      <c r="B9" s="58"/>
      <c r="C9" s="59"/>
      <c r="D9" s="28"/>
      <c r="E9" s="28"/>
      <c r="F9" s="28"/>
      <c r="G9" s="28"/>
      <c r="H9" s="28"/>
      <c r="I9" s="28"/>
      <c r="J9" s="28"/>
      <c r="K9" s="29"/>
      <c r="Q9" s="30"/>
    </row>
    <row r="10" spans="1:24" s="30" customFormat="1" ht="14.25" customHeight="1" outlineLevel="1" thickBot="1">
      <c r="A10" s="54" t="s">
        <v>42</v>
      </c>
      <c r="B10" s="675" t="s">
        <v>72</v>
      </c>
      <c r="C10" s="676"/>
      <c r="D10" s="676"/>
      <c r="E10" s="676"/>
      <c r="F10" s="676"/>
      <c r="G10" s="676"/>
      <c r="H10" s="676"/>
      <c r="I10" s="50" t="s">
        <v>308</v>
      </c>
      <c r="J10" s="50" t="s">
        <v>309</v>
      </c>
      <c r="K10" s="53" t="s">
        <v>91</v>
      </c>
      <c r="L10" s="9"/>
    </row>
    <row r="11" spans="1:24" s="9" customFormat="1" ht="11.25" customHeight="1" outlineLevel="1" thickTop="1">
      <c r="A11" s="67" t="s">
        <v>278</v>
      </c>
      <c r="B11" s="673">
        <f>レビュー管理!H11</f>
        <v>0</v>
      </c>
      <c r="C11" s="674"/>
      <c r="D11" s="674"/>
      <c r="E11" s="674"/>
      <c r="F11" s="674"/>
      <c r="G11" s="674"/>
      <c r="H11" s="674"/>
      <c r="I11" s="440"/>
      <c r="J11" s="96"/>
      <c r="K11" s="94"/>
    </row>
    <row r="12" spans="1:24" s="9" customFormat="1" ht="11.25" customHeight="1" outlineLevel="1">
      <c r="A12" s="67" t="s">
        <v>279</v>
      </c>
      <c r="B12" s="686"/>
      <c r="C12" s="687"/>
      <c r="D12" s="687"/>
      <c r="E12" s="687"/>
      <c r="F12" s="687"/>
      <c r="G12" s="687"/>
      <c r="H12" s="687"/>
      <c r="I12" s="440"/>
      <c r="J12" s="96"/>
      <c r="K12" s="94"/>
    </row>
    <row r="13" spans="1:24" s="9" customFormat="1" ht="11.25" customHeight="1" outlineLevel="1">
      <c r="A13" s="67" t="s">
        <v>280</v>
      </c>
      <c r="B13" s="686"/>
      <c r="C13" s="687"/>
      <c r="D13" s="687"/>
      <c r="E13" s="687"/>
      <c r="F13" s="687"/>
      <c r="G13" s="687"/>
      <c r="H13" s="687"/>
      <c r="I13" s="440"/>
      <c r="J13" s="96"/>
      <c r="K13" s="94"/>
    </row>
    <row r="14" spans="1:24" s="9" customFormat="1" ht="11.25" customHeight="1" outlineLevel="1">
      <c r="A14" s="67" t="s">
        <v>281</v>
      </c>
      <c r="B14" s="686"/>
      <c r="C14" s="687"/>
      <c r="D14" s="687"/>
      <c r="E14" s="687"/>
      <c r="F14" s="687"/>
      <c r="G14" s="687"/>
      <c r="H14" s="687"/>
      <c r="I14" s="440"/>
      <c r="J14" s="96"/>
      <c r="K14" s="94"/>
    </row>
    <row r="15" spans="1:24" s="9" customFormat="1" ht="11.25" customHeight="1" outlineLevel="1">
      <c r="A15" s="67" t="s">
        <v>282</v>
      </c>
      <c r="B15" s="686"/>
      <c r="C15" s="687"/>
      <c r="D15" s="687"/>
      <c r="E15" s="687"/>
      <c r="F15" s="687"/>
      <c r="G15" s="687"/>
      <c r="H15" s="687"/>
      <c r="I15" s="440"/>
      <c r="J15" s="96"/>
      <c r="K15" s="94"/>
    </row>
    <row r="16" spans="1:24" s="9" customFormat="1" ht="12" outlineLevel="1" thickBot="1">
      <c r="A16" s="184" t="s">
        <v>452</v>
      </c>
      <c r="B16" s="181"/>
      <c r="C16" s="179"/>
      <c r="D16" s="179"/>
      <c r="E16" s="179"/>
      <c r="F16" s="179"/>
      <c r="G16" s="179"/>
      <c r="H16" s="180"/>
      <c r="I16" s="441"/>
      <c r="J16" s="182"/>
      <c r="K16" s="183"/>
      <c r="L16" s="11"/>
    </row>
    <row r="17" spans="1:45" s="9" customFormat="1" ht="11.25" customHeight="1" outlineLevel="1">
      <c r="A17" s="83"/>
      <c r="B17" s="90"/>
      <c r="C17" s="91"/>
      <c r="D17" s="91"/>
      <c r="E17" s="91"/>
      <c r="F17" s="91"/>
      <c r="G17" s="91"/>
      <c r="H17" s="91"/>
      <c r="I17" s="91"/>
      <c r="J17" s="93"/>
      <c r="K17" s="92"/>
      <c r="L17" s="37"/>
    </row>
    <row r="18" spans="1:45" s="9" customFormat="1" outlineLevel="1">
      <c r="A18" s="46"/>
      <c r="B18" s="37"/>
      <c r="C18" s="34"/>
      <c r="D18" s="37"/>
      <c r="E18" s="37"/>
      <c r="F18" s="37"/>
      <c r="G18" s="37"/>
      <c r="H18" s="37"/>
      <c r="I18" s="37"/>
      <c r="J18" s="37"/>
      <c r="K18" s="38"/>
      <c r="L18" s="34"/>
      <c r="M18" s="34"/>
      <c r="N18" s="34"/>
      <c r="O18" s="34"/>
      <c r="P18" s="34"/>
      <c r="Q18" s="34"/>
      <c r="R18" s="45"/>
      <c r="S18" s="45"/>
      <c r="U18" s="35"/>
      <c r="V18" s="35"/>
      <c r="W18" s="35"/>
      <c r="X18" s="35"/>
      <c r="Y18" s="35"/>
      <c r="Z18" s="35"/>
      <c r="AA18" s="35"/>
      <c r="AB18" s="35"/>
      <c r="AC18" s="39"/>
      <c r="AD18" s="39"/>
      <c r="AE18" s="35"/>
      <c r="AF18" s="35"/>
      <c r="AG18" s="36"/>
    </row>
    <row r="19" spans="1:45" s="9" customFormat="1" ht="14.25" thickBot="1">
      <c r="A19" s="49" t="s">
        <v>101</v>
      </c>
      <c r="C19" s="31"/>
      <c r="D19" s="32"/>
      <c r="E19" s="32"/>
      <c r="F19" s="32"/>
      <c r="G19" s="32"/>
      <c r="H19" s="32"/>
      <c r="J19" s="33"/>
    </row>
    <row r="20" spans="1:45" s="9" customFormat="1" ht="12" outlineLevel="1" thickBot="1">
      <c r="A20" s="54" t="s">
        <v>283</v>
      </c>
      <c r="B20" s="668" t="s">
        <v>52</v>
      </c>
      <c r="C20" s="669"/>
      <c r="D20" s="55" t="s">
        <v>379</v>
      </c>
      <c r="E20" s="55" t="s">
        <v>381</v>
      </c>
      <c r="F20" s="55" t="s">
        <v>71</v>
      </c>
      <c r="G20" s="56" t="s">
        <v>36</v>
      </c>
      <c r="H20" s="683" t="s">
        <v>45</v>
      </c>
      <c r="I20" s="684"/>
      <c r="J20" s="684"/>
      <c r="K20" s="684"/>
      <c r="L20" s="685"/>
      <c r="M20" s="34"/>
      <c r="N20" s="34"/>
      <c r="O20" s="34"/>
      <c r="R20" s="35"/>
      <c r="S20" s="35"/>
      <c r="T20" s="35"/>
      <c r="U20" s="35"/>
      <c r="V20" s="35"/>
      <c r="W20" s="35"/>
      <c r="X20" s="35"/>
      <c r="Y20" s="35"/>
      <c r="Z20" s="35"/>
      <c r="AA20" s="35"/>
      <c r="AB20" s="35"/>
      <c r="AC20" s="35"/>
      <c r="AD20" s="36"/>
    </row>
    <row r="21" spans="1:45" s="9" customFormat="1" ht="12" outlineLevel="1" thickTop="1">
      <c r="A21" s="40" t="s">
        <v>284</v>
      </c>
      <c r="B21" s="666" t="s">
        <v>404</v>
      </c>
      <c r="C21" s="667"/>
      <c r="D21" s="68"/>
      <c r="E21" s="147"/>
      <c r="F21" s="69" t="str">
        <f>IF(D21="","",E21/D21)</f>
        <v/>
      </c>
      <c r="G21" s="70"/>
      <c r="H21" s="677"/>
      <c r="I21" s="678"/>
      <c r="J21" s="678"/>
      <c r="K21" s="678"/>
      <c r="L21" s="679"/>
      <c r="M21" s="34"/>
      <c r="N21" s="34"/>
      <c r="O21" s="34"/>
      <c r="R21" s="35"/>
      <c r="S21" s="35"/>
      <c r="T21" s="35"/>
      <c r="U21" s="35"/>
      <c r="V21" s="35"/>
      <c r="W21" s="35"/>
      <c r="X21" s="35"/>
      <c r="Y21" s="35"/>
      <c r="Z21" s="35"/>
      <c r="AA21" s="35"/>
      <c r="AB21" s="35"/>
      <c r="AC21" s="35"/>
      <c r="AD21" s="36"/>
    </row>
    <row r="22" spans="1:45" s="9" customFormat="1" ht="11.25" customHeight="1" outlineLevel="1">
      <c r="A22" s="43" t="s">
        <v>285</v>
      </c>
      <c r="B22" s="664" t="s">
        <v>405</v>
      </c>
      <c r="C22" s="665"/>
      <c r="D22" s="60"/>
      <c r="E22" s="147"/>
      <c r="F22" s="61" t="str">
        <f>IF(D22="","",E22/D22)</f>
        <v/>
      </c>
      <c r="G22" s="62"/>
      <c r="H22" s="680"/>
      <c r="I22" s="681"/>
      <c r="J22" s="681"/>
      <c r="K22" s="681"/>
      <c r="L22" s="682"/>
      <c r="M22" s="35"/>
      <c r="N22" s="35"/>
      <c r="O22" s="35"/>
      <c r="P22" s="35"/>
      <c r="Q22" s="35"/>
      <c r="R22" s="35"/>
      <c r="S22" s="35"/>
      <c r="T22" s="35"/>
      <c r="U22" s="35"/>
      <c r="V22" s="35"/>
      <c r="W22" s="35"/>
      <c r="X22" s="35"/>
      <c r="Y22" s="35"/>
      <c r="Z22" s="35"/>
      <c r="AA22" s="35"/>
    </row>
    <row r="23" spans="1:45" s="9" customFormat="1" ht="11.25" customHeight="1" outlineLevel="1">
      <c r="A23" s="43" t="s">
        <v>286</v>
      </c>
      <c r="B23" s="664" t="s">
        <v>100</v>
      </c>
      <c r="C23" s="665"/>
      <c r="D23" s="60"/>
      <c r="E23" s="84">
        <f>SUM(K11:K16)</f>
        <v>0</v>
      </c>
      <c r="F23" s="61" t="str">
        <f>IF(D23="","",E23/D23)</f>
        <v/>
      </c>
      <c r="G23" s="62"/>
      <c r="H23" s="680"/>
      <c r="I23" s="681"/>
      <c r="J23" s="681"/>
      <c r="K23" s="681"/>
      <c r="L23" s="682"/>
      <c r="M23" s="35"/>
      <c r="N23" s="35"/>
      <c r="O23" s="35"/>
      <c r="P23" s="35"/>
      <c r="Q23" s="35"/>
      <c r="R23" s="35"/>
      <c r="S23" s="35"/>
      <c r="T23" s="35"/>
      <c r="U23" s="35"/>
      <c r="V23" s="35"/>
      <c r="W23" s="35"/>
      <c r="X23" s="35"/>
      <c r="Y23" s="35"/>
      <c r="Z23" s="35"/>
      <c r="AA23" s="35"/>
    </row>
    <row r="24" spans="1:45" s="9" customFormat="1" ht="12" outlineLevel="1" thickBot="1">
      <c r="A24" s="63" t="s">
        <v>51</v>
      </c>
      <c r="B24" s="690" t="s">
        <v>406</v>
      </c>
      <c r="C24" s="690"/>
      <c r="D24" s="64"/>
      <c r="E24" s="85">
        <f>H3</f>
        <v>0</v>
      </c>
      <c r="F24" s="65" t="str">
        <f>IF(D24="","",E24/D24)</f>
        <v/>
      </c>
      <c r="G24" s="66"/>
      <c r="H24" s="691"/>
      <c r="I24" s="692"/>
      <c r="J24" s="692"/>
      <c r="K24" s="692"/>
      <c r="L24" s="693"/>
      <c r="M24" s="34"/>
      <c r="N24" s="34"/>
      <c r="O24" s="34"/>
      <c r="R24" s="35"/>
      <c r="S24" s="35"/>
      <c r="T24" s="35"/>
      <c r="U24" s="35"/>
      <c r="V24" s="35"/>
      <c r="W24" s="35"/>
      <c r="X24" s="35"/>
      <c r="Y24" s="35"/>
      <c r="Z24" s="35"/>
      <c r="AA24" s="35"/>
      <c r="AB24" s="35"/>
      <c r="AC24" s="35"/>
      <c r="AD24" s="36"/>
    </row>
    <row r="25" spans="1:45" s="9" customFormat="1" outlineLevel="1">
      <c r="A25" s="46"/>
      <c r="B25" s="37"/>
      <c r="C25" s="34"/>
      <c r="D25" s="37"/>
      <c r="E25" s="37"/>
      <c r="F25" s="37"/>
      <c r="G25" s="37"/>
      <c r="H25" s="37"/>
      <c r="I25" s="37"/>
      <c r="J25" s="37"/>
      <c r="K25" s="38"/>
      <c r="L25" s="34"/>
      <c r="M25" s="34"/>
      <c r="N25" s="34"/>
      <c r="O25" s="45"/>
      <c r="Q25" s="35"/>
      <c r="R25" s="35"/>
      <c r="S25" s="35"/>
      <c r="T25" s="35"/>
      <c r="U25" s="35"/>
      <c r="V25" s="35"/>
      <c r="W25" s="35"/>
      <c r="X25" s="35"/>
      <c r="Y25" s="39"/>
      <c r="Z25" s="39"/>
      <c r="AA25" s="35"/>
      <c r="AB25" s="35"/>
      <c r="AC25" s="36"/>
    </row>
    <row r="26" spans="1:45" s="9" customFormat="1" ht="14.25" thickBot="1">
      <c r="A26" s="158" t="s">
        <v>240</v>
      </c>
      <c r="B26" s="37"/>
      <c r="C26" s="34"/>
      <c r="D26" s="37"/>
      <c r="E26" s="82"/>
      <c r="F26" s="37"/>
      <c r="G26" s="37"/>
      <c r="H26" s="37"/>
      <c r="I26" s="37"/>
      <c r="J26" s="37"/>
      <c r="K26" s="37"/>
      <c r="L26" s="37"/>
      <c r="M26" s="37"/>
      <c r="N26" s="37"/>
      <c r="O26" s="37"/>
      <c r="P26" s="37"/>
      <c r="Q26" s="37"/>
      <c r="R26" s="37"/>
      <c r="S26" s="165"/>
      <c r="T26" s="165"/>
      <c r="U26" s="34"/>
      <c r="V26" s="34"/>
      <c r="W26" s="34"/>
      <c r="X26" s="34"/>
      <c r="Y26" s="34"/>
      <c r="Z26" s="34"/>
      <c r="AA26" s="34"/>
      <c r="AB26" s="34"/>
      <c r="AC26" s="34"/>
      <c r="AD26" s="34"/>
      <c r="AE26" s="34"/>
      <c r="AF26" s="34"/>
      <c r="AG26" s="34"/>
      <c r="AH26" s="34"/>
      <c r="AI26" s="34"/>
      <c r="AJ26" s="34"/>
      <c r="AK26" s="34"/>
      <c r="AL26" s="34"/>
      <c r="AM26" s="39"/>
      <c r="AN26" s="35"/>
      <c r="AO26" s="35"/>
      <c r="AP26" s="35"/>
      <c r="AQ26" s="35"/>
      <c r="AR26" s="35"/>
      <c r="AS26" s="36"/>
    </row>
    <row r="27" spans="1:45" s="9" customFormat="1" ht="14.25" customHeight="1" outlineLevel="1">
      <c r="A27" s="712" t="s">
        <v>17</v>
      </c>
      <c r="B27" s="608" t="s">
        <v>379</v>
      </c>
      <c r="C27" s="609"/>
      <c r="D27" s="609"/>
      <c r="E27" s="609"/>
      <c r="F27" s="609"/>
      <c r="G27" s="609"/>
      <c r="H27" s="609"/>
      <c r="I27" s="610"/>
      <c r="J27" s="617" t="s">
        <v>381</v>
      </c>
      <c r="K27" s="618"/>
      <c r="L27" s="618"/>
      <c r="M27" s="618"/>
      <c r="N27" s="618"/>
      <c r="O27" s="618"/>
      <c r="P27" s="618"/>
      <c r="Q27" s="619"/>
      <c r="R27" s="593" t="s">
        <v>105</v>
      </c>
      <c r="S27" s="596" t="s">
        <v>438</v>
      </c>
      <c r="T27" s="599" t="s">
        <v>437</v>
      </c>
      <c r="U27" s="34"/>
      <c r="V27" s="34"/>
      <c r="W27" s="34"/>
      <c r="X27" s="34"/>
      <c r="Y27" s="34"/>
      <c r="Z27" s="34"/>
      <c r="AA27" s="34"/>
      <c r="AB27" s="34"/>
      <c r="AC27" s="34"/>
      <c r="AD27" s="34"/>
      <c r="AE27" s="34"/>
      <c r="AF27" s="34"/>
      <c r="AG27" s="34"/>
      <c r="AH27" s="34"/>
      <c r="AI27" s="34"/>
      <c r="AJ27" s="34"/>
      <c r="AK27" s="34"/>
      <c r="AL27" s="39"/>
      <c r="AM27" s="35"/>
      <c r="AN27" s="35"/>
      <c r="AO27" s="35"/>
      <c r="AP27" s="35"/>
      <c r="AQ27" s="35"/>
      <c r="AR27" s="36"/>
    </row>
    <row r="28" spans="1:45" s="9" customFormat="1" ht="14.25" customHeight="1" outlineLevel="1">
      <c r="A28" s="713"/>
      <c r="B28" s="620" t="s">
        <v>67</v>
      </c>
      <c r="C28" s="621" t="s">
        <v>380</v>
      </c>
      <c r="D28" s="706" t="s">
        <v>378</v>
      </c>
      <c r="E28" s="707"/>
      <c r="F28" s="708"/>
      <c r="G28" s="697" t="s">
        <v>427</v>
      </c>
      <c r="H28" s="698"/>
      <c r="I28" s="699"/>
      <c r="J28" s="620" t="s">
        <v>13</v>
      </c>
      <c r="K28" s="621" t="s">
        <v>380</v>
      </c>
      <c r="L28" s="623" t="s">
        <v>428</v>
      </c>
      <c r="M28" s="624"/>
      <c r="N28" s="625"/>
      <c r="O28" s="614" t="s">
        <v>429</v>
      </c>
      <c r="P28" s="615"/>
      <c r="Q28" s="616"/>
      <c r="R28" s="594"/>
      <c r="S28" s="597"/>
      <c r="T28" s="600"/>
      <c r="U28" s="35"/>
      <c r="V28" s="35"/>
      <c r="W28" s="35"/>
      <c r="X28" s="35"/>
      <c r="Y28" s="35"/>
      <c r="Z28" s="35"/>
      <c r="AA28" s="35"/>
      <c r="AB28" s="35"/>
      <c r="AC28" s="35"/>
      <c r="AD28" s="35"/>
      <c r="AE28" s="35"/>
      <c r="AF28" s="39"/>
      <c r="AG28" s="39"/>
      <c r="AH28" s="35"/>
      <c r="AI28" s="35"/>
      <c r="AJ28" s="35"/>
      <c r="AK28" s="35"/>
    </row>
    <row r="29" spans="1:45" s="9" customFormat="1" ht="14.25" customHeight="1" outlineLevel="1" thickBot="1">
      <c r="A29" s="714"/>
      <c r="B29" s="595"/>
      <c r="C29" s="622"/>
      <c r="D29" s="709"/>
      <c r="E29" s="710"/>
      <c r="F29" s="711"/>
      <c r="G29" s="442" t="s">
        <v>471</v>
      </c>
      <c r="H29" s="442" t="s">
        <v>472</v>
      </c>
      <c r="I29" s="442" t="s">
        <v>473</v>
      </c>
      <c r="J29" s="595"/>
      <c r="K29" s="622"/>
      <c r="L29" s="626"/>
      <c r="M29" s="627"/>
      <c r="N29" s="628"/>
      <c r="O29" s="485" t="s">
        <v>471</v>
      </c>
      <c r="P29" s="485" t="s">
        <v>472</v>
      </c>
      <c r="Q29" s="485" t="s">
        <v>473</v>
      </c>
      <c r="R29" s="595"/>
      <c r="S29" s="598"/>
      <c r="T29" s="601"/>
      <c r="U29" s="35"/>
      <c r="V29" s="35"/>
      <c r="W29" s="35"/>
      <c r="X29" s="35"/>
      <c r="Y29" s="35"/>
      <c r="Z29" s="35"/>
      <c r="AA29" s="35"/>
      <c r="AB29" s="35"/>
      <c r="AC29" s="35"/>
      <c r="AD29" s="35"/>
      <c r="AE29" s="35"/>
      <c r="AF29" s="39"/>
      <c r="AG29" s="39"/>
      <c r="AH29" s="35"/>
      <c r="AI29" s="35"/>
      <c r="AJ29" s="35"/>
      <c r="AK29" s="35"/>
    </row>
    <row r="30" spans="1:45" s="9" customFormat="1" ht="12" outlineLevel="1" thickTop="1">
      <c r="A30" s="151">
        <v>1</v>
      </c>
      <c r="B30" s="472">
        <f>レビュー管理!J11</f>
        <v>0</v>
      </c>
      <c r="C30" s="41"/>
      <c r="D30" s="611"/>
      <c r="E30" s="612"/>
      <c r="F30" s="613"/>
      <c r="G30" s="482"/>
      <c r="H30" s="483"/>
      <c r="I30" s="483"/>
      <c r="J30" s="477"/>
      <c r="K30" s="41"/>
      <c r="L30" s="700"/>
      <c r="M30" s="701"/>
      <c r="N30" s="702"/>
      <c r="O30" s="487"/>
      <c r="P30" s="487"/>
      <c r="Q30" s="487"/>
      <c r="R30" s="42"/>
      <c r="S30" s="163" t="str">
        <f>IF(OR(OR(B30=DATE(1900,1,0),C30="",D30="",G30="",H30="",I30=""),OR(B30="",C30="",D30="",G30="",H30="",I30="")),"未計画","")</f>
        <v>未計画</v>
      </c>
      <c r="T30" s="47" t="str">
        <f ca="1">IF(OR(AND(J30&lt;&gt;"",OR(K30="",L30="",O30="",P30="",Q30="",R30="")),AND(J30="",OR(AND(B30&lt;&gt;DATE(1900,1,0),B30&lt;TODAY()),OR(K30&lt;&gt;"",L30&lt;&gt;"",O30&lt;&gt;"",P30&lt;&gt;"",Q30&lt;&gt;"",R30&lt;&gt;"")))),"未実施","")</f>
        <v/>
      </c>
      <c r="U30" s="35"/>
      <c r="V30" s="35"/>
      <c r="W30" s="35"/>
      <c r="X30" s="35"/>
      <c r="Y30" s="35"/>
      <c r="Z30" s="35"/>
      <c r="AA30" s="35"/>
      <c r="AB30" s="35"/>
      <c r="AC30" s="35"/>
      <c r="AD30" s="35"/>
      <c r="AE30" s="35"/>
      <c r="AF30" s="39"/>
      <c r="AG30" s="39"/>
      <c r="AH30" s="35"/>
      <c r="AI30" s="35"/>
      <c r="AJ30" s="35"/>
      <c r="AK30" s="35"/>
    </row>
    <row r="31" spans="1:45" s="9" customFormat="1" outlineLevel="1">
      <c r="A31" s="152"/>
      <c r="B31" s="473"/>
      <c r="C31" s="44"/>
      <c r="D31" s="605"/>
      <c r="E31" s="606"/>
      <c r="F31" s="607"/>
      <c r="G31" s="481"/>
      <c r="H31" s="481"/>
      <c r="I31" s="481"/>
      <c r="J31" s="478"/>
      <c r="K31" s="44"/>
      <c r="L31" s="694"/>
      <c r="M31" s="695"/>
      <c r="N31" s="696"/>
      <c r="O31" s="486"/>
      <c r="P31" s="480"/>
      <c r="Q31" s="480"/>
      <c r="R31" s="42"/>
      <c r="S31" s="164" t="str">
        <f>IF(AND(B31&lt;&gt;"",C31&lt;&gt;"",D31&lt;&gt;"",G31&lt;&gt;"",H31&lt;&gt;"",I31&lt;&gt;""),"",IF(R30="継続","未計画",IF(OR(B31&lt;&gt;"",C31&lt;&gt;"",D31&lt;&gt;"",G31&lt;&gt;"",H31&lt;&gt;"",I31&lt;&gt;""),"未計画","")))</f>
        <v/>
      </c>
      <c r="T31" s="17" t="str">
        <f ca="1">IF(AND(B31="",C31="",D31="",G31="",H31="",I31=""),"",IF(OR(AND(J31&lt;&gt;"",OR(K31="",L31="",O31="",P31="",Q31="",R31="")),AND(J31="",OR(B31&lt;TODAY(),OR(K31&lt;&gt;"",L31&lt;&gt;"",O31&lt;&gt;"",P31&lt;&gt;"",Q31&lt;&gt;"",R31&lt;&gt;"")))),"未実施",""))</f>
        <v/>
      </c>
      <c r="U31" s="35"/>
      <c r="V31" s="35"/>
      <c r="W31" s="35"/>
      <c r="X31" s="35"/>
      <c r="Y31" s="35"/>
      <c r="Z31" s="35"/>
      <c r="AA31" s="35"/>
      <c r="AB31" s="35"/>
      <c r="AC31" s="35"/>
      <c r="AD31" s="35"/>
      <c r="AE31" s="35"/>
      <c r="AF31" s="39"/>
      <c r="AG31" s="39"/>
      <c r="AH31" s="35"/>
      <c r="AI31" s="35"/>
      <c r="AJ31" s="35"/>
      <c r="AK31" s="35"/>
    </row>
    <row r="32" spans="1:45" s="9" customFormat="1" outlineLevel="1">
      <c r="A32" s="152"/>
      <c r="B32" s="473"/>
      <c r="C32" s="44"/>
      <c r="D32" s="605"/>
      <c r="E32" s="606"/>
      <c r="F32" s="607"/>
      <c r="G32" s="481"/>
      <c r="H32" s="481"/>
      <c r="I32" s="481"/>
      <c r="J32" s="478"/>
      <c r="K32" s="44"/>
      <c r="L32" s="694"/>
      <c r="M32" s="695"/>
      <c r="N32" s="696"/>
      <c r="O32" s="480"/>
      <c r="P32" s="480"/>
      <c r="Q32" s="480"/>
      <c r="R32" s="42"/>
      <c r="S32" s="164" t="str">
        <f>IF(AND(B32&lt;&gt;"",C32&lt;&gt;"",D32&lt;&gt;"",G32&lt;&gt;"",H32&lt;&gt;"",I32&lt;&gt;""),"",IF(R31="継続","未計画",IF(OR(B32&lt;&gt;"",C32&lt;&gt;"",D32&lt;&gt;"",G32&lt;&gt;"",H32&lt;&gt;"",I32&lt;&gt;""),"未計画","")))</f>
        <v/>
      </c>
      <c r="T32" s="17" t="str">
        <f ca="1">IF(AND(B32="",C32="",D32="",G32="",H32="",I32=""),"",IF(OR(AND(J32&lt;&gt;"",OR(K32="",L32="",O32="",P32="",Q32="",R32="")),AND(J32="",OR(B32&lt;TODAY(),OR(K32&lt;&gt;"",L32&lt;&gt;"",O32&lt;&gt;"",P32&lt;&gt;"",Q32&lt;&gt;"",R32&lt;&gt;"")))),"未実施",""))</f>
        <v/>
      </c>
      <c r="U32" s="35"/>
      <c r="V32" s="35"/>
      <c r="W32" s="35"/>
      <c r="X32" s="35"/>
      <c r="Y32" s="35"/>
      <c r="Z32" s="35"/>
      <c r="AA32" s="35"/>
      <c r="AB32" s="35"/>
      <c r="AC32" s="35"/>
      <c r="AD32" s="35"/>
      <c r="AE32" s="35"/>
      <c r="AF32" s="39"/>
      <c r="AG32" s="39"/>
      <c r="AH32" s="35"/>
      <c r="AI32" s="35"/>
      <c r="AJ32" s="35"/>
      <c r="AK32" s="35"/>
    </row>
    <row r="33" spans="1:43" s="9" customFormat="1" outlineLevel="1">
      <c r="A33" s="152"/>
      <c r="B33" s="473"/>
      <c r="C33" s="44"/>
      <c r="D33" s="703"/>
      <c r="E33" s="704"/>
      <c r="F33" s="705"/>
      <c r="G33" s="481"/>
      <c r="H33" s="481"/>
      <c r="I33" s="481"/>
      <c r="J33" s="478"/>
      <c r="K33" s="44"/>
      <c r="L33" s="694"/>
      <c r="M33" s="695"/>
      <c r="N33" s="696"/>
      <c r="O33" s="480"/>
      <c r="P33" s="480"/>
      <c r="Q33" s="480"/>
      <c r="R33" s="42"/>
      <c r="S33" s="164" t="str">
        <f>IF(AND(B33&lt;&gt;"",C33&lt;&gt;"",D33&lt;&gt;"",G33&lt;&gt;"",H33&lt;&gt;"",I33&lt;&gt;""),"",IF(R32="継続","未計画",IF(OR(B33&lt;&gt;"",C33&lt;&gt;"",D33&lt;&gt;"",G33&lt;&gt;"",H33&lt;&gt;"",I33&lt;&gt;""),"未計画","")))</f>
        <v/>
      </c>
      <c r="T33" s="17" t="str">
        <f ca="1">IF(AND(B33="",C33="",D33="",G33="",H33="",I33=""),"",IF(OR(AND(J33&lt;&gt;"",OR(K33="",L33="",O33="",P33="",Q33="",R33="")),AND(J33="",OR(B33&lt;TODAY(),OR(K33&lt;&gt;"",L33&lt;&gt;"",O33&lt;&gt;"",P33&lt;&gt;"",Q33&lt;&gt;"",R33&lt;&gt;"")))),"未実施",""))</f>
        <v/>
      </c>
      <c r="U33" s="35"/>
      <c r="V33" s="35"/>
      <c r="W33" s="35"/>
      <c r="X33" s="35"/>
      <c r="Y33" s="35"/>
      <c r="Z33" s="35"/>
      <c r="AA33" s="35"/>
      <c r="AB33" s="35"/>
      <c r="AC33" s="35"/>
      <c r="AD33" s="35"/>
      <c r="AE33" s="35"/>
      <c r="AF33" s="39"/>
      <c r="AG33" s="39"/>
      <c r="AH33" s="35"/>
      <c r="AI33" s="35"/>
      <c r="AJ33" s="35"/>
      <c r="AK33" s="35"/>
    </row>
    <row r="34" spans="1:43" s="9" customFormat="1" ht="12" outlineLevel="1" thickBot="1">
      <c r="A34" s="185" t="s">
        <v>453</v>
      </c>
      <c r="B34" s="474"/>
      <c r="C34" s="178"/>
      <c r="D34" s="187"/>
      <c r="E34" s="188"/>
      <c r="F34" s="189"/>
      <c r="G34" s="178"/>
      <c r="H34" s="178"/>
      <c r="I34" s="189"/>
      <c r="J34" s="479"/>
      <c r="K34" s="178"/>
      <c r="L34" s="443"/>
      <c r="M34" s="444"/>
      <c r="N34" s="445"/>
      <c r="O34" s="187"/>
      <c r="P34" s="178"/>
      <c r="Q34" s="189"/>
      <c r="R34" s="190"/>
      <c r="S34" s="488" t="str">
        <f>IF(AND(B34&lt;&gt;"",C34&lt;&gt;"",D34&lt;&gt;"",G34&lt;&gt;"",H34&lt;&gt;"",I34&lt;&gt;""),"",IF(R33="継続","未計画",IF(OR(B34&lt;&gt;"",C34&lt;&gt;"",D34&lt;&gt;"",G34&lt;&gt;"",H34&lt;&gt;"",I34&lt;&gt;""),"未計画","")))</f>
        <v/>
      </c>
      <c r="T34" s="489" t="str">
        <f ca="1">IF(AND(B34="",C34="",D34="",G34="",H34="",I34=""),"",IF(OR(AND(J34&lt;&gt;"",OR(K34="",L34="",O34="",P34="",Q34="",R34="")),AND(J34="",OR(B34&lt;TODAY(),OR(K34&lt;&gt;"",L34&lt;&gt;"",O34&lt;&gt;"",P34&lt;&gt;"",Q34&lt;&gt;"",R34&lt;&gt;"")))),"未実施",""))</f>
        <v/>
      </c>
      <c r="U34" s="11"/>
      <c r="V34" s="35"/>
      <c r="W34" s="35"/>
      <c r="X34" s="35"/>
      <c r="Y34" s="35"/>
      <c r="Z34" s="35"/>
      <c r="AA34" s="35"/>
      <c r="AB34" s="35"/>
      <c r="AC34" s="35"/>
      <c r="AD34" s="35"/>
      <c r="AE34" s="35"/>
      <c r="AF34" s="39"/>
      <c r="AG34" s="39"/>
      <c r="AH34" s="35"/>
      <c r="AI34" s="35"/>
      <c r="AJ34" s="35"/>
      <c r="AK34" s="35"/>
    </row>
    <row r="35" spans="1:43" s="9" customFormat="1" outlineLevel="1">
      <c r="A35" s="46"/>
      <c r="B35" s="37"/>
      <c r="F35" s="37"/>
      <c r="G35" s="37"/>
      <c r="H35" s="37"/>
      <c r="I35" s="37"/>
      <c r="J35" s="37"/>
      <c r="K35" s="37"/>
      <c r="L35" s="37"/>
      <c r="M35" s="37"/>
      <c r="N35" s="37"/>
      <c r="O35" s="37"/>
      <c r="P35" s="37"/>
      <c r="Q35" s="34"/>
      <c r="R35" s="37"/>
      <c r="S35" s="37"/>
      <c r="T35" s="37"/>
      <c r="U35" s="38"/>
      <c r="V35" s="34"/>
      <c r="W35" s="34"/>
      <c r="X35" s="34"/>
      <c r="Y35" s="34"/>
      <c r="Z35" s="34"/>
      <c r="AA35" s="34"/>
      <c r="AB35" s="45"/>
      <c r="AC35" s="45"/>
      <c r="AE35" s="35"/>
      <c r="AF35" s="35"/>
      <c r="AG35" s="35"/>
      <c r="AH35" s="35"/>
      <c r="AI35" s="35"/>
      <c r="AJ35" s="35"/>
      <c r="AK35" s="35"/>
      <c r="AL35" s="35"/>
      <c r="AM35" s="39"/>
      <c r="AN35" s="39"/>
      <c r="AO35" s="35"/>
      <c r="AP35" s="35"/>
      <c r="AQ35" s="36"/>
    </row>
    <row r="36" spans="1:43" s="9" customFormat="1" ht="14.25" thickBot="1">
      <c r="A36" s="158" t="s">
        <v>485</v>
      </c>
      <c r="B36" s="37"/>
      <c r="C36" s="34"/>
      <c r="D36" s="83"/>
      <c r="E36" s="83" t="s">
        <v>486</v>
      </c>
      <c r="F36" s="37"/>
      <c r="G36" s="37"/>
      <c r="H36" s="37"/>
      <c r="I36" s="37"/>
      <c r="J36" s="37"/>
      <c r="K36" s="38"/>
      <c r="L36" s="38"/>
      <c r="M36" s="34"/>
      <c r="N36" s="34"/>
      <c r="O36" s="34"/>
      <c r="P36" s="34"/>
      <c r="Q36" s="34"/>
      <c r="R36" s="34"/>
      <c r="S36" s="45"/>
      <c r="T36" s="45"/>
      <c r="V36" s="35"/>
      <c r="W36" s="35"/>
      <c r="X36" s="35"/>
      <c r="Y36" s="35"/>
      <c r="Z36" s="35"/>
      <c r="AA36" s="35"/>
      <c r="AB36" s="35"/>
      <c r="AC36" s="35"/>
      <c r="AD36" s="39"/>
      <c r="AE36" s="39"/>
      <c r="AF36" s="35"/>
      <c r="AG36" s="35"/>
      <c r="AH36" s="36"/>
    </row>
    <row r="37" spans="1:43" s="9" customFormat="1" ht="24.95" customHeight="1" outlineLevel="1" thickBot="1">
      <c r="A37" s="688" t="s">
        <v>484</v>
      </c>
      <c r="B37" s="689"/>
      <c r="C37" s="689"/>
      <c r="D37" s="689"/>
      <c r="E37" s="689"/>
      <c r="F37" s="689"/>
      <c r="G37" s="634" t="s">
        <v>16</v>
      </c>
      <c r="H37" s="635"/>
      <c r="I37" s="635"/>
      <c r="J37" s="635"/>
      <c r="K37" s="636"/>
      <c r="L37" s="144"/>
      <c r="M37" s="144"/>
    </row>
    <row r="38" spans="1:43" s="9" customFormat="1" ht="84" customHeight="1" outlineLevel="1" thickTop="1" thickBot="1">
      <c r="A38" s="629" t="s">
        <v>479</v>
      </c>
      <c r="B38" s="629"/>
      <c r="C38" s="629"/>
      <c r="D38" s="629"/>
      <c r="E38" s="629"/>
      <c r="F38" s="630"/>
      <c r="G38" s="631" t="s">
        <v>478</v>
      </c>
      <c r="H38" s="632"/>
      <c r="I38" s="632"/>
      <c r="J38" s="632"/>
      <c r="K38" s="633"/>
      <c r="L38" s="144"/>
      <c r="M38" s="144"/>
    </row>
    <row r="39" spans="1:43" s="9" customFormat="1" outlineLevel="1">
      <c r="A39" s="46"/>
      <c r="B39" s="37"/>
      <c r="C39" s="34"/>
      <c r="D39" s="37"/>
      <c r="E39" s="37"/>
      <c r="F39" s="37"/>
      <c r="G39" s="37"/>
      <c r="H39" s="37"/>
      <c r="I39" s="37"/>
      <c r="J39" s="37"/>
      <c r="K39" s="38"/>
      <c r="L39" s="34"/>
      <c r="M39" s="34"/>
      <c r="N39" s="34"/>
      <c r="O39" s="34"/>
      <c r="P39" s="34"/>
      <c r="Q39" s="34"/>
      <c r="R39" s="45"/>
      <c r="S39" s="45"/>
      <c r="U39" s="35"/>
      <c r="V39" s="35"/>
      <c r="W39" s="35"/>
      <c r="X39" s="35"/>
      <c r="Y39" s="35"/>
      <c r="Z39" s="35"/>
      <c r="AA39" s="35"/>
      <c r="AB39" s="35"/>
      <c r="AC39" s="39"/>
      <c r="AD39" s="39"/>
      <c r="AE39" s="35"/>
      <c r="AF39" s="35"/>
      <c r="AG39" s="36"/>
    </row>
    <row r="40" spans="1:43" s="9" customFormat="1" ht="15.75" outlineLevel="1" thickBot="1">
      <c r="A40" s="158" t="s">
        <v>118</v>
      </c>
      <c r="B40" s="148"/>
      <c r="C40" s="83" t="s">
        <v>377</v>
      </c>
      <c r="D40" s="87"/>
      <c r="E40" s="37"/>
      <c r="F40" s="37"/>
      <c r="G40" s="37"/>
      <c r="H40" s="37"/>
      <c r="I40" s="37"/>
      <c r="J40" s="38"/>
      <c r="K40" s="34"/>
      <c r="L40" s="34"/>
      <c r="M40" s="34"/>
      <c r="N40" s="34"/>
      <c r="O40" s="34"/>
      <c r="P40" s="34"/>
      <c r="Q40" s="45"/>
      <c r="R40" s="45"/>
      <c r="T40" s="35"/>
      <c r="U40" s="35"/>
      <c r="V40" s="35"/>
      <c r="W40" s="35"/>
      <c r="X40" s="35"/>
      <c r="Y40" s="35"/>
      <c r="Z40" s="35"/>
      <c r="AA40" s="35"/>
      <c r="AB40" s="39"/>
      <c r="AC40" s="39"/>
      <c r="AD40" s="35"/>
      <c r="AE40" s="35"/>
      <c r="AF40" s="36"/>
    </row>
    <row r="41" spans="1:43" s="9" customFormat="1" ht="12" outlineLevel="1" thickBot="1">
      <c r="A41" s="54" t="s">
        <v>39</v>
      </c>
      <c r="B41" s="602" t="s">
        <v>117</v>
      </c>
      <c r="C41" s="603"/>
      <c r="D41" s="603"/>
      <c r="E41" s="604"/>
      <c r="F41" s="52" t="s">
        <v>287</v>
      </c>
      <c r="G41" s="602" t="s">
        <v>367</v>
      </c>
      <c r="H41" s="603"/>
      <c r="I41" s="604"/>
      <c r="J41" s="51" t="s">
        <v>180</v>
      </c>
      <c r="K41" s="53" t="s">
        <v>20</v>
      </c>
      <c r="L41" s="35"/>
      <c r="M41" s="35"/>
      <c r="N41" s="35"/>
      <c r="O41" s="35"/>
      <c r="P41" s="35"/>
      <c r="Q41" s="35"/>
      <c r="R41" s="35"/>
      <c r="S41" s="35"/>
      <c r="T41" s="35"/>
      <c r="U41" s="35"/>
      <c r="V41" s="35"/>
      <c r="W41" s="35"/>
      <c r="X41" s="39"/>
      <c r="Y41" s="39"/>
      <c r="Z41" s="35"/>
      <c r="AA41" s="35"/>
      <c r="AB41" s="35"/>
      <c r="AC41" s="35"/>
    </row>
    <row r="42" spans="1:43" s="9" customFormat="1" ht="21.75" customHeight="1" outlineLevel="1" thickTop="1">
      <c r="A42" s="446"/>
      <c r="B42" s="643"/>
      <c r="C42" s="644"/>
      <c r="D42" s="644"/>
      <c r="E42" s="645"/>
      <c r="F42" s="149"/>
      <c r="G42" s="646"/>
      <c r="H42" s="647"/>
      <c r="I42" s="648"/>
      <c r="J42" s="86"/>
      <c r="K42" s="448" t="str">
        <f>IF(B42="","",IF(OR(J42="",G42=""),"×",""))</f>
        <v/>
      </c>
      <c r="L42" s="35"/>
      <c r="M42" s="35"/>
      <c r="N42" s="35"/>
      <c r="O42" s="35"/>
      <c r="P42" s="35"/>
      <c r="Q42" s="35"/>
      <c r="R42" s="35"/>
      <c r="S42" s="35"/>
      <c r="T42" s="35"/>
      <c r="U42" s="35"/>
      <c r="V42" s="35"/>
      <c r="W42" s="35"/>
      <c r="X42" s="39"/>
      <c r="Y42" s="39"/>
      <c r="Z42" s="35"/>
      <c r="AA42" s="35"/>
      <c r="AB42" s="35"/>
      <c r="AC42" s="35"/>
    </row>
    <row r="43" spans="1:43" s="9" customFormat="1" ht="21.75" customHeight="1" outlineLevel="1">
      <c r="A43" s="446"/>
      <c r="B43" s="637"/>
      <c r="C43" s="638"/>
      <c r="D43" s="638"/>
      <c r="E43" s="639"/>
      <c r="F43" s="150"/>
      <c r="G43" s="640"/>
      <c r="H43" s="641"/>
      <c r="I43" s="642"/>
      <c r="J43" s="86"/>
      <c r="K43" s="449" t="str">
        <f>IF(B43="","",IF(OR(J43="",G43=""),"×",""))</f>
        <v/>
      </c>
      <c r="L43" s="35"/>
      <c r="M43" s="35"/>
      <c r="N43" s="35"/>
      <c r="O43" s="35"/>
      <c r="P43" s="35"/>
      <c r="Q43" s="35"/>
      <c r="R43" s="35"/>
      <c r="S43" s="35"/>
      <c r="T43" s="35"/>
      <c r="U43" s="35"/>
      <c r="V43" s="35"/>
      <c r="W43" s="35"/>
      <c r="X43" s="39"/>
      <c r="Y43" s="39"/>
      <c r="Z43" s="35"/>
      <c r="AA43" s="35"/>
      <c r="AB43" s="35"/>
      <c r="AC43" s="35"/>
    </row>
    <row r="44" spans="1:43" s="9" customFormat="1" ht="21.75" customHeight="1" outlineLevel="1">
      <c r="A44" s="447"/>
      <c r="B44" s="637"/>
      <c r="C44" s="638"/>
      <c r="D44" s="638"/>
      <c r="E44" s="639"/>
      <c r="F44" s="150"/>
      <c r="G44" s="640"/>
      <c r="H44" s="641"/>
      <c r="I44" s="642"/>
      <c r="J44" s="86"/>
      <c r="K44" s="449" t="str">
        <f>IF(B44="","",IF(OR(J44="",G44=""),"×",""))</f>
        <v/>
      </c>
      <c r="L44" s="35"/>
      <c r="M44" s="35"/>
      <c r="N44" s="35"/>
      <c r="O44" s="35"/>
      <c r="P44" s="35"/>
      <c r="Q44" s="35"/>
      <c r="R44" s="35"/>
      <c r="S44" s="35"/>
      <c r="T44" s="35"/>
      <c r="U44" s="35"/>
      <c r="V44" s="35"/>
      <c r="W44" s="35"/>
      <c r="X44" s="39"/>
      <c r="Y44" s="39"/>
      <c r="Z44" s="35"/>
      <c r="AA44" s="35"/>
      <c r="AB44" s="35"/>
      <c r="AC44" s="35"/>
    </row>
    <row r="45" spans="1:43" s="9" customFormat="1" ht="21.75" customHeight="1" outlineLevel="1">
      <c r="A45" s="446"/>
      <c r="B45" s="637"/>
      <c r="C45" s="638"/>
      <c r="D45" s="638"/>
      <c r="E45" s="639"/>
      <c r="F45" s="150"/>
      <c r="G45" s="640"/>
      <c r="H45" s="641"/>
      <c r="I45" s="642"/>
      <c r="J45" s="86"/>
      <c r="K45" s="449" t="str">
        <f>IF(B45="","",IF(OR(J45="",G45=""),"×",""))</f>
        <v/>
      </c>
      <c r="L45" s="35"/>
      <c r="M45" s="35"/>
      <c r="N45" s="35"/>
      <c r="O45" s="35"/>
      <c r="P45" s="35"/>
      <c r="Q45" s="35"/>
      <c r="R45" s="35"/>
      <c r="S45" s="35"/>
      <c r="T45" s="35"/>
      <c r="U45" s="35"/>
      <c r="V45" s="35"/>
      <c r="W45" s="35"/>
      <c r="X45" s="39"/>
      <c r="Y45" s="39"/>
      <c r="Z45" s="35"/>
      <c r="AA45" s="35"/>
      <c r="AB45" s="35"/>
      <c r="AC45" s="35"/>
    </row>
    <row r="46" spans="1:43" s="9" customFormat="1" ht="12" outlineLevel="1" thickBot="1">
      <c r="A46" s="186" t="s">
        <v>453</v>
      </c>
      <c r="B46" s="191"/>
      <c r="C46" s="192"/>
      <c r="D46" s="192"/>
      <c r="E46" s="193"/>
      <c r="F46" s="194"/>
      <c r="G46" s="195"/>
      <c r="H46" s="196"/>
      <c r="I46" s="197"/>
      <c r="J46" s="174"/>
      <c r="K46" s="450" t="str">
        <f>IF(B46="","",IF(OR(J46="",G46=""),"×",""))</f>
        <v/>
      </c>
      <c r="L46" s="11"/>
      <c r="M46" s="35"/>
      <c r="N46" s="35"/>
      <c r="O46" s="35"/>
      <c r="P46" s="35"/>
      <c r="Q46" s="35"/>
      <c r="R46" s="35"/>
      <c r="S46" s="35"/>
      <c r="T46" s="35"/>
      <c r="U46" s="35"/>
      <c r="V46" s="35"/>
      <c r="W46" s="35"/>
      <c r="X46" s="39"/>
      <c r="Y46" s="39"/>
      <c r="Z46" s="35"/>
      <c r="AA46" s="35"/>
      <c r="AB46" s="35"/>
      <c r="AC46" s="35"/>
    </row>
    <row r="47" spans="1:43" s="9" customFormat="1" ht="12" thickBot="1">
      <c r="A47" s="46"/>
      <c r="C47" s="48"/>
      <c r="D47" s="48"/>
      <c r="I47" s="48"/>
      <c r="J47" s="48"/>
      <c r="K47" s="48"/>
      <c r="L47" s="48"/>
      <c r="M47" s="48"/>
      <c r="N47" s="48"/>
      <c r="O47" s="48"/>
      <c r="P47" s="48"/>
      <c r="Q47" s="48"/>
    </row>
    <row r="48" spans="1:43">
      <c r="A48" s="451" t="s">
        <v>288</v>
      </c>
      <c r="B48" s="452"/>
      <c r="C48" s="452"/>
      <c r="D48" s="452"/>
      <c r="E48" s="452"/>
      <c r="F48" s="452"/>
      <c r="G48" s="453" t="s">
        <v>232</v>
      </c>
      <c r="H48" s="454"/>
      <c r="I48" s="454"/>
      <c r="J48" s="454"/>
      <c r="K48" s="455"/>
      <c r="L48" s="455"/>
      <c r="M48" s="455"/>
      <c r="N48" s="455"/>
      <c r="O48" s="455"/>
      <c r="P48" s="455"/>
      <c r="Q48" s="455"/>
      <c r="R48" s="455"/>
      <c r="S48" s="456" t="s">
        <v>12</v>
      </c>
      <c r="T48" s="457"/>
      <c r="U48" s="457"/>
      <c r="V48" s="457"/>
      <c r="W48" s="457"/>
      <c r="X48" s="458"/>
      <c r="Y48" s="459" t="s">
        <v>33</v>
      </c>
      <c r="Z48" s="460"/>
      <c r="AA48" s="460"/>
      <c r="AB48" s="460"/>
      <c r="AC48" s="460"/>
      <c r="AD48" s="460"/>
      <c r="AE48" s="460"/>
      <c r="AF48" s="461" t="s">
        <v>20</v>
      </c>
      <c r="AG48" s="462" t="s">
        <v>84</v>
      </c>
    </row>
    <row r="49" spans="1:33" s="6" customFormat="1" ht="22.5">
      <c r="A49" s="97" t="s">
        <v>540</v>
      </c>
      <c r="B49" s="98" t="s">
        <v>39</v>
      </c>
      <c r="C49" s="99" t="s">
        <v>40</v>
      </c>
      <c r="D49" s="100" t="s">
        <v>34</v>
      </c>
      <c r="E49" s="101" t="s">
        <v>241</v>
      </c>
      <c r="F49" s="102" t="s">
        <v>292</v>
      </c>
      <c r="G49" s="113" t="s">
        <v>194</v>
      </c>
      <c r="H49" s="114" t="s">
        <v>233</v>
      </c>
      <c r="I49" s="115" t="s">
        <v>35</v>
      </c>
      <c r="J49" s="114" t="s">
        <v>383</v>
      </c>
      <c r="K49" s="652" t="s">
        <v>234</v>
      </c>
      <c r="L49" s="653"/>
      <c r="M49" s="653"/>
      <c r="N49" s="654"/>
      <c r="O49" s="653" t="s">
        <v>366</v>
      </c>
      <c r="P49" s="653"/>
      <c r="Q49" s="653"/>
      <c r="R49" s="659"/>
      <c r="S49" s="132" t="s">
        <v>21</v>
      </c>
      <c r="T49" s="133" t="s">
        <v>10</v>
      </c>
      <c r="U49" s="134" t="s">
        <v>139</v>
      </c>
      <c r="V49" s="135" t="s">
        <v>18</v>
      </c>
      <c r="W49" s="136" t="s">
        <v>129</v>
      </c>
      <c r="X49" s="137" t="s">
        <v>85</v>
      </c>
      <c r="Y49" s="119" t="s">
        <v>11</v>
      </c>
      <c r="Z49" s="120" t="s">
        <v>305</v>
      </c>
      <c r="AA49" s="120" t="s">
        <v>318</v>
      </c>
      <c r="AB49" s="120" t="s">
        <v>19</v>
      </c>
      <c r="AC49" s="121" t="s">
        <v>130</v>
      </c>
      <c r="AD49" s="120" t="s">
        <v>22</v>
      </c>
      <c r="AE49" s="122" t="s">
        <v>23</v>
      </c>
      <c r="AF49" s="463"/>
      <c r="AG49" s="464"/>
    </row>
    <row r="50" spans="1:33" s="9" customFormat="1">
      <c r="A50" s="103">
        <v>1</v>
      </c>
      <c r="B50" s="104"/>
      <c r="C50" s="104"/>
      <c r="D50" s="105"/>
      <c r="E50" s="106"/>
      <c r="F50" s="107"/>
      <c r="G50" s="105"/>
      <c r="H50" s="116"/>
      <c r="I50" s="153"/>
      <c r="J50" s="155"/>
      <c r="K50" s="655"/>
      <c r="L50" s="656"/>
      <c r="M50" s="656"/>
      <c r="N50" s="657"/>
      <c r="O50" s="656"/>
      <c r="P50" s="656"/>
      <c r="Q50" s="656"/>
      <c r="R50" s="660"/>
      <c r="S50" s="138"/>
      <c r="T50" s="104"/>
      <c r="U50" s="159"/>
      <c r="V50" s="139"/>
      <c r="W50" s="140"/>
      <c r="X50" s="468"/>
      <c r="Y50" s="123" t="str">
        <f t="shared" ref="Y50:Y54" si="0">IF(F50="","",F50)</f>
        <v/>
      </c>
      <c r="Z50" s="116"/>
      <c r="AA50" s="124"/>
      <c r="AB50" s="125"/>
      <c r="AC50" s="126"/>
      <c r="AD50" s="104"/>
      <c r="AE50" s="107"/>
      <c r="AF50" s="466" t="str">
        <f>IF(AND(K50&lt;&gt;"",OR(E50="",F50="",S50="")),"記入漏",IF(OR(AND(E50="不具合",OR(G50="",H50="",J50="")),AND(E50="指摘",J50="")),"記入漏",IF(AND(S50="要",OR(U50="",AE50="")),"記入漏","")))</f>
        <v/>
      </c>
      <c r="AG50" s="145"/>
    </row>
    <row r="51" spans="1:33" s="9" customFormat="1">
      <c r="A51" s="103">
        <f t="shared" ref="A51:A54" si="1">A50+1</f>
        <v>2</v>
      </c>
      <c r="B51" s="104"/>
      <c r="C51" s="104"/>
      <c r="D51" s="105"/>
      <c r="E51" s="106"/>
      <c r="F51" s="107"/>
      <c r="G51" s="105"/>
      <c r="H51" s="116"/>
      <c r="I51" s="153"/>
      <c r="J51" s="155"/>
      <c r="K51" s="655"/>
      <c r="L51" s="656"/>
      <c r="M51" s="656"/>
      <c r="N51" s="657"/>
      <c r="O51" s="656"/>
      <c r="P51" s="656"/>
      <c r="Q51" s="656"/>
      <c r="R51" s="660"/>
      <c r="S51" s="138"/>
      <c r="T51" s="104"/>
      <c r="U51" s="159"/>
      <c r="V51" s="139"/>
      <c r="W51" s="140"/>
      <c r="X51" s="468"/>
      <c r="Y51" s="123" t="str">
        <f t="shared" si="0"/>
        <v/>
      </c>
      <c r="Z51" s="116"/>
      <c r="AA51" s="160"/>
      <c r="AB51" s="125"/>
      <c r="AC51" s="126"/>
      <c r="AD51" s="104"/>
      <c r="AE51" s="107"/>
      <c r="AF51" s="466" t="str">
        <f t="shared" ref="AF51:AF53" si="2">IF(AND(K51&lt;&gt;"",OR(E51="",F51="",S51="")),"記入漏",IF(OR(AND(E51="不具合",OR(G51="",H51="",J51="")),AND(E51="指摘",J51="")),"記入漏",IF(AND(S51="要",OR(U51="",AE51="")),"記入漏","")))</f>
        <v/>
      </c>
      <c r="AG51" s="145"/>
    </row>
    <row r="52" spans="1:33" s="9" customFormat="1">
      <c r="A52" s="103">
        <f t="shared" si="1"/>
        <v>3</v>
      </c>
      <c r="B52" s="104"/>
      <c r="C52" s="104"/>
      <c r="D52" s="105"/>
      <c r="E52" s="106"/>
      <c r="F52" s="107"/>
      <c r="G52" s="105"/>
      <c r="H52" s="116"/>
      <c r="I52" s="153"/>
      <c r="J52" s="155"/>
      <c r="K52" s="655"/>
      <c r="L52" s="656"/>
      <c r="M52" s="656"/>
      <c r="N52" s="657"/>
      <c r="O52" s="656"/>
      <c r="P52" s="656"/>
      <c r="Q52" s="656"/>
      <c r="R52" s="660"/>
      <c r="S52" s="138"/>
      <c r="T52" s="104"/>
      <c r="U52" s="159"/>
      <c r="V52" s="139"/>
      <c r="W52" s="140"/>
      <c r="X52" s="468"/>
      <c r="Y52" s="123" t="str">
        <f t="shared" si="0"/>
        <v/>
      </c>
      <c r="Z52" s="116"/>
      <c r="AA52" s="124"/>
      <c r="AB52" s="125"/>
      <c r="AC52" s="126"/>
      <c r="AD52" s="104"/>
      <c r="AE52" s="107"/>
      <c r="AF52" s="466" t="str">
        <f t="shared" si="2"/>
        <v/>
      </c>
      <c r="AG52" s="145"/>
    </row>
    <row r="53" spans="1:33" s="9" customFormat="1">
      <c r="A53" s="103">
        <f t="shared" si="1"/>
        <v>4</v>
      </c>
      <c r="B53" s="104"/>
      <c r="C53" s="104"/>
      <c r="D53" s="105"/>
      <c r="E53" s="106"/>
      <c r="F53" s="107"/>
      <c r="G53" s="105"/>
      <c r="H53" s="116"/>
      <c r="I53" s="153"/>
      <c r="J53" s="155"/>
      <c r="K53" s="655"/>
      <c r="L53" s="656"/>
      <c r="M53" s="656"/>
      <c r="N53" s="657"/>
      <c r="O53" s="656"/>
      <c r="P53" s="656"/>
      <c r="Q53" s="656"/>
      <c r="R53" s="660"/>
      <c r="S53" s="138"/>
      <c r="T53" s="104"/>
      <c r="U53" s="159"/>
      <c r="V53" s="139"/>
      <c r="W53" s="140"/>
      <c r="X53" s="468"/>
      <c r="Y53" s="123" t="str">
        <f t="shared" si="0"/>
        <v/>
      </c>
      <c r="Z53" s="116"/>
      <c r="AA53" s="160"/>
      <c r="AB53" s="125"/>
      <c r="AC53" s="126"/>
      <c r="AD53" s="104"/>
      <c r="AE53" s="107"/>
      <c r="AF53" s="466" t="str">
        <f t="shared" si="2"/>
        <v/>
      </c>
      <c r="AG53" s="145"/>
    </row>
    <row r="54" spans="1:33" s="9" customFormat="1">
      <c r="A54" s="103">
        <f t="shared" si="1"/>
        <v>5</v>
      </c>
      <c r="B54" s="104"/>
      <c r="C54" s="104"/>
      <c r="D54" s="105"/>
      <c r="E54" s="106"/>
      <c r="F54" s="107"/>
      <c r="G54" s="105"/>
      <c r="H54" s="116"/>
      <c r="I54" s="153"/>
      <c r="J54" s="155"/>
      <c r="K54" s="655"/>
      <c r="L54" s="656"/>
      <c r="M54" s="656"/>
      <c r="N54" s="657"/>
      <c r="O54" s="656"/>
      <c r="P54" s="656"/>
      <c r="Q54" s="656"/>
      <c r="R54" s="660"/>
      <c r="S54" s="138"/>
      <c r="T54" s="104"/>
      <c r="U54" s="159"/>
      <c r="V54" s="139"/>
      <c r="W54" s="140"/>
      <c r="X54" s="468"/>
      <c r="Y54" s="123" t="str">
        <f t="shared" si="0"/>
        <v/>
      </c>
      <c r="Z54" s="116"/>
      <c r="AA54" s="124"/>
      <c r="AB54" s="125"/>
      <c r="AC54" s="126"/>
      <c r="AD54" s="104"/>
      <c r="AE54" s="107"/>
      <c r="AF54" s="466" t="str">
        <f>IF(AND(K54&lt;&gt;"",OR(E54="",F54="",S54="")),"記入漏",IF(OR(AND(E54="不具合",OR(G54="",H54="",J54="")),AND(E54="指摘",J54="")),"記入漏",IF(AND(S54="要",OR(U54="",AE54="")),"記入漏","")))</f>
        <v/>
      </c>
      <c r="AG54" s="145"/>
    </row>
    <row r="55" spans="1:33" s="9" customFormat="1" ht="14.25" customHeight="1" thickBot="1">
      <c r="A55" s="108"/>
      <c r="B55" s="109"/>
      <c r="C55" s="109"/>
      <c r="D55" s="110"/>
      <c r="E55" s="111"/>
      <c r="F55" s="112"/>
      <c r="G55" s="117"/>
      <c r="H55" s="118"/>
      <c r="I55" s="154"/>
      <c r="J55" s="465"/>
      <c r="K55" s="649"/>
      <c r="L55" s="650"/>
      <c r="M55" s="650"/>
      <c r="N55" s="651"/>
      <c r="O55" s="650"/>
      <c r="P55" s="650"/>
      <c r="Q55" s="650"/>
      <c r="R55" s="658"/>
      <c r="S55" s="108"/>
      <c r="T55" s="109"/>
      <c r="U55" s="141"/>
      <c r="V55" s="142"/>
      <c r="W55" s="143"/>
      <c r="X55" s="469"/>
      <c r="Y55" s="127" t="str">
        <f t="shared" ref="Y55" si="3">IF(F55="","",F55)</f>
        <v/>
      </c>
      <c r="Z55" s="128"/>
      <c r="AA55" s="129"/>
      <c r="AB55" s="130"/>
      <c r="AC55" s="131"/>
      <c r="AD55" s="109"/>
      <c r="AE55" s="112"/>
      <c r="AF55" s="467" t="str">
        <f>IF(AND(K55&lt;&gt;"",OR(E55="",F55="",S55="")),"記入漏",IF(OR(AND(E55="不具合",OR(G55="",H55="",J55="")),AND(E55="指摘",J55="")),"記入漏",IF(AND(S55="要",OR(U55="",AE55="")),"記入漏","")))</f>
        <v/>
      </c>
      <c r="AG55" s="146"/>
    </row>
  </sheetData>
  <sheetProtection formatCells="0" formatColumns="0" formatRows="0" insertColumns="0" insertRows="0" insertHyperlinks="0" deleteColumns="0" deleteRows="0" autoFilter="0"/>
  <mergeCells count="68">
    <mergeCell ref="A37:F37"/>
    <mergeCell ref="B24:C24"/>
    <mergeCell ref="H24:L24"/>
    <mergeCell ref="L33:N33"/>
    <mergeCell ref="G28:I28"/>
    <mergeCell ref="L31:N31"/>
    <mergeCell ref="L30:N30"/>
    <mergeCell ref="D32:F32"/>
    <mergeCell ref="L32:N32"/>
    <mergeCell ref="D33:F33"/>
    <mergeCell ref="B28:B29"/>
    <mergeCell ref="C28:C29"/>
    <mergeCell ref="D28:F29"/>
    <mergeCell ref="A27:A29"/>
    <mergeCell ref="B4:B7"/>
    <mergeCell ref="B23:C23"/>
    <mergeCell ref="B21:C21"/>
    <mergeCell ref="B22:C22"/>
    <mergeCell ref="B20:C20"/>
    <mergeCell ref="C4:C7"/>
    <mergeCell ref="B11:H11"/>
    <mergeCell ref="B10:H10"/>
    <mergeCell ref="H21:L21"/>
    <mergeCell ref="H22:L22"/>
    <mergeCell ref="H20:L20"/>
    <mergeCell ref="H23:L23"/>
    <mergeCell ref="B12:H12"/>
    <mergeCell ref="B13:H13"/>
    <mergeCell ref="B14:H14"/>
    <mergeCell ref="B15:H15"/>
    <mergeCell ref="O55:R55"/>
    <mergeCell ref="O49:R49"/>
    <mergeCell ref="O50:R50"/>
    <mergeCell ref="O51:R51"/>
    <mergeCell ref="O52:R52"/>
    <mergeCell ref="O53:R53"/>
    <mergeCell ref="O54:R54"/>
    <mergeCell ref="K55:N55"/>
    <mergeCell ref="G43:I43"/>
    <mergeCell ref="K49:N49"/>
    <mergeCell ref="K50:N50"/>
    <mergeCell ref="K51:N51"/>
    <mergeCell ref="K52:N52"/>
    <mergeCell ref="K53:N53"/>
    <mergeCell ref="K54:N54"/>
    <mergeCell ref="B45:E45"/>
    <mergeCell ref="B44:E44"/>
    <mergeCell ref="G44:I44"/>
    <mergeCell ref="B42:E42"/>
    <mergeCell ref="B43:E43"/>
    <mergeCell ref="G45:I45"/>
    <mergeCell ref="G42:I42"/>
    <mergeCell ref="R27:R29"/>
    <mergeCell ref="S27:S29"/>
    <mergeCell ref="T27:T29"/>
    <mergeCell ref="G41:I41"/>
    <mergeCell ref="D31:F31"/>
    <mergeCell ref="B27:I27"/>
    <mergeCell ref="D30:F30"/>
    <mergeCell ref="O28:Q28"/>
    <mergeCell ref="J27:Q27"/>
    <mergeCell ref="J28:J29"/>
    <mergeCell ref="K28:K29"/>
    <mergeCell ref="L28:N29"/>
    <mergeCell ref="B41:E41"/>
    <mergeCell ref="A38:F38"/>
    <mergeCell ref="G38:K38"/>
    <mergeCell ref="G37:K37"/>
  </mergeCells>
  <phoneticPr fontId="4"/>
  <conditionalFormatting sqref="AE55 AB55:AC55 AB50:AD54 T50:T55 V50:W55 Y55">
    <cfRule type="expression" dxfId="103" priority="483" stopIfTrue="1">
      <formula>$S50="いいえ"</formula>
    </cfRule>
  </conditionalFormatting>
  <conditionalFormatting sqref="J42:J46">
    <cfRule type="expression" dxfId="102" priority="484" stopIfTrue="1">
      <formula>AND(B42&lt;&gt;"",J42="")</formula>
    </cfRule>
  </conditionalFormatting>
  <conditionalFormatting sqref="E55">
    <cfRule type="expression" dxfId="101" priority="485" stopIfTrue="1">
      <formula>AND(#REF!&lt;&gt;"",$E55="")</formula>
    </cfRule>
  </conditionalFormatting>
  <conditionalFormatting sqref="S55">
    <cfRule type="expression" dxfId="100" priority="486" stopIfTrue="1">
      <formula>AND(#REF!&lt;&gt;"",$S55="")</formula>
    </cfRule>
  </conditionalFormatting>
  <conditionalFormatting sqref="C4:C7">
    <cfRule type="expression" dxfId="99" priority="487" stopIfTrue="1">
      <formula>AND($F$2&lt;&gt;"承認待ち",$F$2&lt;&gt;"承認済")</formula>
    </cfRule>
    <cfRule type="expression" priority="488" stopIfTrue="1">
      <formula>IF(F2&lt;&gt;"承認済",C4="",)</formula>
    </cfRule>
  </conditionalFormatting>
  <conditionalFormatting sqref="AD55">
    <cfRule type="expression" dxfId="98" priority="489" stopIfTrue="1">
      <formula>$S55="否"</formula>
    </cfRule>
    <cfRule type="expression" dxfId="97" priority="491" stopIfTrue="1">
      <formula>$AD55="対策中"</formula>
    </cfRule>
  </conditionalFormatting>
  <conditionalFormatting sqref="U50:U55">
    <cfRule type="expression" dxfId="96" priority="492" stopIfTrue="1">
      <formula>AND($S50&lt;&gt;"",$U50="")</formula>
    </cfRule>
  </conditionalFormatting>
  <conditionalFormatting sqref="AE50:AE54">
    <cfRule type="expression" dxfId="95" priority="505" stopIfTrue="1">
      <formula>$S50="いいえ"</formula>
    </cfRule>
    <cfRule type="expression" dxfId="94" priority="510" stopIfTrue="1">
      <formula>AND($Z50&lt;&gt;"",$AA50&lt;&gt;"",$AB50&lt;&gt;"",$AD50="完了",$AE50="")</formula>
    </cfRule>
  </conditionalFormatting>
  <conditionalFormatting sqref="Z50:AA54">
    <cfRule type="expression" dxfId="93" priority="512" stopIfTrue="1">
      <formula>$S50="いいえ"</formula>
    </cfRule>
  </conditionalFormatting>
  <conditionalFormatting sqref="L6">
    <cfRule type="cellIs" dxfId="92" priority="513" stopIfTrue="1" operator="equal">
      <formula>""</formula>
    </cfRule>
  </conditionalFormatting>
  <conditionalFormatting sqref="L3:L4">
    <cfRule type="cellIs" dxfId="91" priority="515" stopIfTrue="1" operator="equal">
      <formula>"未"</formula>
    </cfRule>
  </conditionalFormatting>
  <conditionalFormatting sqref="J7">
    <cfRule type="cellIs" dxfId="90" priority="516" stopIfTrue="1" operator="equal">
      <formula>"有"</formula>
    </cfRule>
  </conditionalFormatting>
  <conditionalFormatting sqref="S50:S54">
    <cfRule type="expression" dxfId="89" priority="517" stopIfTrue="1">
      <formula>AND($K50&lt;&gt;"",$S50="")</formula>
    </cfRule>
  </conditionalFormatting>
  <conditionalFormatting sqref="K17">
    <cfRule type="expression" dxfId="88" priority="580" stopIfTrue="1">
      <formula>AND(B17&lt;&gt;"",K17="")</formula>
    </cfRule>
  </conditionalFormatting>
  <conditionalFormatting sqref="G42:I46">
    <cfRule type="expression" dxfId="87" priority="581" stopIfTrue="1">
      <formula>AND(#REF!&lt;&gt;"",G42="")</formula>
    </cfRule>
  </conditionalFormatting>
  <conditionalFormatting sqref="C30:C34">
    <cfRule type="expression" dxfId="86" priority="582" stopIfTrue="1">
      <formula>AND($B30&lt;&gt;"",$C30="")</formula>
    </cfRule>
  </conditionalFormatting>
  <conditionalFormatting sqref="D30:D34">
    <cfRule type="expression" dxfId="85" priority="481">
      <formula>AND($B30&lt;&gt;"",$D30="")</formula>
    </cfRule>
  </conditionalFormatting>
  <conditionalFormatting sqref="G50:G55">
    <cfRule type="expression" dxfId="84" priority="599" stopIfTrue="1">
      <formula>$E50&lt;&gt;"不具合"</formula>
    </cfRule>
    <cfRule type="expression" dxfId="83" priority="600" stopIfTrue="1">
      <formula>AND($K50&lt;&gt;"",$E50="不具合",$G50="")</formula>
    </cfRule>
  </conditionalFormatting>
  <conditionalFormatting sqref="H50:H55">
    <cfRule type="expression" dxfId="82" priority="601" stopIfTrue="1">
      <formula>$E50&lt;&gt;"不具合"</formula>
    </cfRule>
    <cfRule type="expression" dxfId="81" priority="602" stopIfTrue="1">
      <formula>AND($K50&lt;&gt;"",$E50="不具合",$H50="")</formula>
    </cfRule>
  </conditionalFormatting>
  <conditionalFormatting sqref="E50:E54">
    <cfRule type="expression" dxfId="80" priority="603" stopIfTrue="1">
      <formula>AND($K50&lt;&gt;"",$E50="")</formula>
    </cfRule>
  </conditionalFormatting>
  <conditionalFormatting sqref="F50:F54">
    <cfRule type="expression" dxfId="79" priority="604" stopIfTrue="1">
      <formula>AND($K50&lt;&gt;"",$F50="")</formula>
    </cfRule>
  </conditionalFormatting>
  <conditionalFormatting sqref="J50:J55">
    <cfRule type="expression" dxfId="78" priority="589" stopIfTrue="1">
      <formula>AND($E50&lt;&gt;"指摘",$E50&lt;&gt;"不具合")</formula>
    </cfRule>
    <cfRule type="expression" dxfId="77" priority="598" stopIfTrue="1">
      <formula>AND($K50&lt;&gt;"",OR($E50="指摘",$E50="不具合"),$J50="")</formula>
    </cfRule>
  </conditionalFormatting>
  <conditionalFormatting sqref="I50:I55">
    <cfRule type="expression" dxfId="76" priority="479">
      <formula>$E50&lt;&gt;"指摘"</formula>
    </cfRule>
    <cfRule type="expression" dxfId="75" priority="480">
      <formula>AND($K50&lt;&gt;"",$E50="指摘",$I50="")</formula>
    </cfRule>
  </conditionalFormatting>
  <conditionalFormatting sqref="N7">
    <cfRule type="cellIs" dxfId="74" priority="478" stopIfTrue="1" operator="equal">
      <formula>"有"</formula>
    </cfRule>
  </conditionalFormatting>
  <conditionalFormatting sqref="P7">
    <cfRule type="cellIs" dxfId="73" priority="477" stopIfTrue="1" operator="equal">
      <formula>"有"</formula>
    </cfRule>
  </conditionalFormatting>
  <conditionalFormatting sqref="N3:N5">
    <cfRule type="cellIs" dxfId="72" priority="476" operator="greaterThan">
      <formula>0</formula>
    </cfRule>
  </conditionalFormatting>
  <conditionalFormatting sqref="P3:P6">
    <cfRule type="cellIs" dxfId="71" priority="475" operator="greaterThan">
      <formula>0</formula>
    </cfRule>
  </conditionalFormatting>
  <conditionalFormatting sqref="T50:T55">
    <cfRule type="expression" dxfId="70" priority="474">
      <formula>AND($S50="はい",$T50="")</formula>
    </cfRule>
  </conditionalFormatting>
  <conditionalFormatting sqref="V50:V55">
    <cfRule type="expression" dxfId="69" priority="473">
      <formula>AND($S50="はい",$V50="")</formula>
    </cfRule>
  </conditionalFormatting>
  <conditionalFormatting sqref="X50:X55">
    <cfRule type="expression" dxfId="68" priority="472">
      <formula>AND(OR(AND($S50="はい",$T50&lt;&gt;"",$U50&lt;&gt;"",$V50&lt;&gt;""),AND($S50="いいえ",$U50&lt;&gt;"")),$X50="")</formula>
    </cfRule>
  </conditionalFormatting>
  <conditionalFormatting sqref="Z50:Z55">
    <cfRule type="expression" dxfId="67" priority="511" stopIfTrue="1">
      <formula>AND($V50&lt;&gt;"",$V50&lt;TODAY(),$Z50="")</formula>
    </cfRule>
  </conditionalFormatting>
  <conditionalFormatting sqref="AA50:AA55">
    <cfRule type="expression" dxfId="66" priority="471">
      <formula>AND($V50&lt;&gt;"",$V50&lt;TODAY(),$AA50="")</formula>
    </cfRule>
  </conditionalFormatting>
  <conditionalFormatting sqref="AB50:AB55">
    <cfRule type="expression" dxfId="65" priority="469">
      <formula>AND($V50&lt;&gt;"",$V50&lt;TODAY(),$AB50="")</formula>
    </cfRule>
  </conditionalFormatting>
  <conditionalFormatting sqref="AD50:AD55">
    <cfRule type="expression" dxfId="64" priority="468">
      <formula>AND($V50&lt;&gt;"",$V50&lt;TODAY(),$AD50&lt;&gt;"完了")</formula>
    </cfRule>
  </conditionalFormatting>
  <conditionalFormatting sqref="J30:J34">
    <cfRule type="expression" dxfId="63" priority="635" stopIfTrue="1">
      <formula>AND($B30&lt;&gt;DATE(1900,1,0),$B30&lt;TODAY(),$J30="")</formula>
    </cfRule>
  </conditionalFormatting>
  <conditionalFormatting sqref="G30:G34">
    <cfRule type="expression" dxfId="62" priority="636">
      <formula>AND($B30&lt;&gt;"",$G30="")</formula>
    </cfRule>
  </conditionalFormatting>
  <conditionalFormatting sqref="L30:L34">
    <cfRule type="expression" dxfId="61" priority="637" stopIfTrue="1">
      <formula>AND($B30&lt;&gt;DATE(1900,1,0),$B30&lt;TODAY(),$L30="")</formula>
    </cfRule>
  </conditionalFormatting>
  <conditionalFormatting sqref="K30:K34">
    <cfRule type="expression" dxfId="60" priority="640">
      <formula>AND($B30&lt;&gt;DATE(1900,1,0),$B30&lt;TODAY(),$K30="")</formula>
    </cfRule>
  </conditionalFormatting>
  <conditionalFormatting sqref="R30:R34">
    <cfRule type="expression" dxfId="59" priority="641" stopIfTrue="1">
      <formula>AND(J30&lt;&gt;"",K30&lt;&gt;"",L30&lt;&gt;"",O30&lt;&gt;"",P30&lt;&gt;"",Q30&lt;&gt;"",R30="")</formula>
    </cfRule>
  </conditionalFormatting>
  <conditionalFormatting sqref="B31:B34">
    <cfRule type="expression" dxfId="58" priority="642">
      <formula>AND($R30="継続",$B31="")</formula>
    </cfRule>
  </conditionalFormatting>
  <conditionalFormatting sqref="O30:O34">
    <cfRule type="expression" dxfId="57" priority="643" stopIfTrue="1">
      <formula>AND($B30&lt;&gt;DATE(1900,1,0),$B30&lt;TODAY(),$O30="")</formula>
    </cfRule>
  </conditionalFormatting>
  <conditionalFormatting sqref="Y50:Y54">
    <cfRule type="expression" dxfId="56" priority="5" stopIfTrue="1">
      <formula>$S50="いいえ"</formula>
    </cfRule>
  </conditionalFormatting>
  <conditionalFormatting sqref="H30:H34">
    <cfRule type="expression" dxfId="55" priority="4">
      <formula>AND($B30&lt;&gt;"",$H30="")</formula>
    </cfRule>
  </conditionalFormatting>
  <conditionalFormatting sqref="I30:I34">
    <cfRule type="expression" dxfId="54" priority="3">
      <formula>AND($B30&lt;&gt;"",$I30="")</formula>
    </cfRule>
  </conditionalFormatting>
  <conditionalFormatting sqref="P30:P34">
    <cfRule type="expression" dxfId="53" priority="2">
      <formula>AND($B30&lt;&gt;DATE(1900,1,0),$B30&lt;TODAY(),$P30="")</formula>
    </cfRule>
  </conditionalFormatting>
  <conditionalFormatting sqref="Q30:Q34">
    <cfRule type="expression" dxfId="52" priority="1">
      <formula>AND($B30&lt;&gt;DATE(1900,1,0),$B30&lt;TODAY(),$Q30="")</formula>
    </cfRule>
  </conditionalFormatting>
  <dataValidations count="18">
    <dataValidation type="list" allowBlank="1" showInputMessage="1" showErrorMessage="1" sqref="F55">
      <formula1>"  "</formula1>
    </dataValidation>
    <dataValidation type="list" allowBlank="1" showInputMessage="1" sqref="X50:X54 T50:T54">
      <formula1>メンバー</formula1>
    </dataValidation>
    <dataValidation type="list" allowBlank="1" showInputMessage="1" showErrorMessage="1" sqref="I50:I54">
      <formula1>INDIRECT("指摘種別")</formula1>
    </dataValidation>
    <dataValidation type="list" allowBlank="1" showInputMessage="1" showErrorMessage="1" sqref="H50:H54">
      <formula1>INDIRECT($B$4)</formula1>
    </dataValidation>
    <dataValidation type="list" allowBlank="1" showInputMessage="1" showErrorMessage="1" sqref="AE50:AE54">
      <formula1>"ＯＫ"</formula1>
    </dataValidation>
    <dataValidation type="list" allowBlank="1" showInputMessage="1" sqref="AD50:AD54">
      <formula1>"完了,対策中,未着手"</formula1>
    </dataValidation>
    <dataValidation type="list" allowBlank="1" showInputMessage="1" showErrorMessage="1" sqref="S50:S54">
      <formula1>"はい,いいえ,保留"</formula1>
    </dataValidation>
    <dataValidation type="list" allowBlank="1" showInputMessage="1" showErrorMessage="1" sqref="G50:G54">
      <formula1>"大,中,小"</formula1>
    </dataValidation>
    <dataValidation type="list" allowBlank="1" showInputMessage="1" showErrorMessage="1" sqref="E50:E54">
      <formula1>"不具合,指摘,確認,指示,,決定事項"</formula1>
    </dataValidation>
    <dataValidation type="list" allowBlank="1" showInputMessage="1" showErrorMessage="1" sqref="F50:F54">
      <formula1>メンバー</formula1>
    </dataValidation>
    <dataValidation type="list" allowBlank="1" showInputMessage="1" showErrorMessage="1" sqref="C50:C54">
      <formula1>$A$11:$A$16</formula1>
    </dataValidation>
    <dataValidation type="list" allowBlank="1" showInputMessage="1" showErrorMessage="1" sqref="R30:R34">
      <formula1>"継続,終了"</formula1>
    </dataValidation>
    <dataValidation type="list" allowBlank="1" showInputMessage="1" showErrorMessage="1" prompt="5: 良好_x000a_4: まあまあ良好_x000a_3: 普通_x000a_2: 少し良くない_x000a_1: 良くない" sqref="G21:G24">
      <formula1>"5,4,3,2,1"</formula1>
    </dataValidation>
    <dataValidation allowBlank="1" showInputMessage="1" sqref="F3:F7 H7 Y50:Y55"/>
    <dataValidation type="list" allowBlank="1" showInputMessage="1" showErrorMessage="1" sqref="C30:C34 K30:K34">
      <formula1>"ウォークスルー,パスアラウンド"</formula1>
    </dataValidation>
    <dataValidation type="list" allowBlank="1" showInputMessage="1" showErrorMessage="1" sqref="J42:J46">
      <formula1>"OK,NG"</formula1>
    </dataValidation>
    <dataValidation type="list" allowBlank="1" showInputMessage="1" sqref="F42:F46">
      <formula1>"○"</formula1>
    </dataValidation>
    <dataValidation type="list" allowBlank="1" showInputMessage="1" showErrorMessage="1" sqref="J50:J54">
      <formula1>"○,－"</formula1>
    </dataValidation>
  </dataValidations>
  <hyperlinks>
    <hyperlink ref="P1" location="レビュー管理!A1" display="管理票へ"/>
  </hyperlinks>
  <pageMargins left="0.75" right="0.75" top="1" bottom="1" header="0.51200000000000001" footer="0.51200000000000001"/>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AddNewLine_record">
                <anchor moveWithCells="1">
                  <from>
                    <xdr:col>0</xdr:col>
                    <xdr:colOff>190500</xdr:colOff>
                    <xdr:row>56</xdr:row>
                    <xdr:rowOff>0</xdr:rowOff>
                  </from>
                  <to>
                    <xdr:col>1</xdr:col>
                    <xdr:colOff>485775</xdr:colOff>
                    <xdr:row>58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outlinePr summaryBelow="0" summaryRight="0"/>
    <pageSetUpPr autoPageBreaks="0"/>
  </sheetPr>
  <dimension ref="A1:AS55"/>
  <sheetViews>
    <sheetView showGridLines="0" zoomScaleNormal="100" workbookViewId="0"/>
  </sheetViews>
  <sheetFormatPr defaultRowHeight="11.25" outlineLevelRow="1"/>
  <cols>
    <col min="1" max="1" width="5.375" style="4" customWidth="1"/>
    <col min="2" max="3" width="9.5" style="4" customWidth="1"/>
    <col min="4" max="4" width="10" style="4" customWidth="1"/>
    <col min="5" max="5" width="9.5" style="4" customWidth="1"/>
    <col min="6" max="6" width="9.625" style="4" customWidth="1"/>
    <col min="7" max="7" width="11.75" style="4" customWidth="1"/>
    <col min="8" max="9" width="9.625" style="4" customWidth="1"/>
    <col min="10" max="10" width="10.875" style="4" customWidth="1"/>
    <col min="11" max="12" width="9.375" style="4" customWidth="1"/>
    <col min="13" max="14" width="10.875" style="4" bestFit="1" customWidth="1"/>
    <col min="15" max="15" width="12.625" style="4" customWidth="1"/>
    <col min="16" max="20" width="9.375" style="4" customWidth="1"/>
    <col min="21" max="21" width="44.75" style="4" customWidth="1"/>
    <col min="22" max="23" width="7.125" style="4" customWidth="1"/>
    <col min="24" max="24" width="7.25" style="4" customWidth="1"/>
    <col min="25" max="25" width="7.875" style="4" customWidth="1"/>
    <col min="26" max="26" width="41.5" style="4" customWidth="1"/>
    <col min="27" max="27" width="24.5" style="4" customWidth="1"/>
    <col min="28" max="30" width="6.75" style="4" customWidth="1"/>
    <col min="31" max="31" width="7.75" style="4" customWidth="1"/>
    <col min="32" max="32" width="7.25" style="4" customWidth="1"/>
    <col min="33" max="33" width="22.125" style="4" customWidth="1"/>
    <col min="34" max="40" width="9.375" style="4" customWidth="1"/>
    <col min="41" max="16384" width="9" style="4"/>
  </cols>
  <sheetData>
    <row r="1" spans="1:24" ht="26.25" thickBot="1">
      <c r="A1" s="7" t="s">
        <v>177</v>
      </c>
      <c r="B1" s="3"/>
      <c r="P1" s="5" t="s">
        <v>275</v>
      </c>
    </row>
    <row r="2" spans="1:24" s="9" customFormat="1" ht="12" customHeight="1" thickBot="1">
      <c r="A2" s="8"/>
      <c r="B2" s="8"/>
      <c r="E2" s="11" t="s">
        <v>276</v>
      </c>
      <c r="F2" s="10" t="str">
        <f ca="1">IF(F3="未実施","未実施",IF(F3="未計画","未計画",IF(F5="未","処置中",IF(J7="有","未記入あり",IF(F6="可",IF(C4="","承認待ち","承認済"),"実施待ち")))))</f>
        <v>未計画</v>
      </c>
      <c r="G2" s="429" t="s">
        <v>231</v>
      </c>
      <c r="H2" s="11"/>
      <c r="I2" s="430" t="s">
        <v>26</v>
      </c>
      <c r="J2" s="430"/>
      <c r="K2" s="11" t="s">
        <v>102</v>
      </c>
      <c r="L2" s="431"/>
      <c r="M2" s="430" t="s">
        <v>407</v>
      </c>
      <c r="N2" s="430"/>
      <c r="O2" s="11"/>
      <c r="P2" s="11"/>
      <c r="Q2" s="11" t="s">
        <v>101</v>
      </c>
      <c r="R2" s="11"/>
      <c r="S2" s="11"/>
    </row>
    <row r="3" spans="1:24" s="9" customFormat="1" ht="12" customHeight="1" thickBot="1">
      <c r="A3" s="8"/>
      <c r="B3" s="77" t="s">
        <v>31</v>
      </c>
      <c r="C3" s="77" t="s">
        <v>44</v>
      </c>
      <c r="E3" s="71" t="s">
        <v>107</v>
      </c>
      <c r="F3" s="12" t="str">
        <f ca="1">IF(COUNTIF(T30:T34,"未実施")&lt;&gt;0,"未実施",IF(COUNTIF(S30:S34,"未計画")&lt;&gt;0,"未計画","正常"))</f>
        <v>未計画</v>
      </c>
      <c r="G3" s="71" t="s">
        <v>277</v>
      </c>
      <c r="H3" s="13">
        <f>COUNTIF(E50:E55,G3)</f>
        <v>0</v>
      </c>
      <c r="I3" s="71" t="s">
        <v>41</v>
      </c>
      <c r="J3" s="14">
        <f>COUNTIF($S$50:$S$55,"はい")</f>
        <v>0</v>
      </c>
      <c r="K3" s="71" t="s">
        <v>103</v>
      </c>
      <c r="L3" s="15" t="str">
        <f>IF(COUNTIF(K42:K46,"×")&lt;&gt;0,"未","済")</f>
        <v>済</v>
      </c>
      <c r="M3" s="432" t="s">
        <v>409</v>
      </c>
      <c r="N3" s="14">
        <f>SUMPRODUCT(($S30:$S34="未計画")*1)+(SUMPRODUCT(($S30:$S34&lt;&gt;"未計画")*($B30:$B34&lt;&gt;""))-SUMPRODUCT(($S30:$S34&lt;&gt;"未計画")*($B30:$B34&lt;&gt;"")*($C30:$C34&lt;&gt;"")*($D30:$D34&lt;&gt;"")*($G30:$G34&lt;&gt;"")*($H30:$H34&lt;&gt;"")*($I30:$I34&lt;&gt;"")))</f>
        <v>1</v>
      </c>
      <c r="O3" s="432" t="s">
        <v>410</v>
      </c>
      <c r="P3" s="14">
        <f>SUMPRODUCT(($K$50:$K$55&lt;&gt;"")*1)-(SUMPRODUCT(($K$50:$K$55&lt;&gt;"")*($S$50:$S$55="はい")*($T$50:$T$55&lt;&gt;"")*($U$50:$U$55&lt;&gt;"")*($V$50:$V$55&lt;&gt;""))+SUMPRODUCT(($K$50:$K$55&lt;&gt;"")*($S$50:$S$55="いいえ")*($U$50:$U$55&lt;&gt;"")))</f>
        <v>0</v>
      </c>
      <c r="Q3" s="175"/>
      <c r="R3" s="470" t="s">
        <v>379</v>
      </c>
      <c r="S3" s="471" t="s">
        <v>381</v>
      </c>
      <c r="V3" s="11" t="s">
        <v>563</v>
      </c>
    </row>
    <row r="4" spans="1:24" s="9" customFormat="1" ht="12" customHeight="1" thickBot="1">
      <c r="A4" s="8"/>
      <c r="B4" s="661">
        <f>レビュー管理!G11</f>
        <v>0</v>
      </c>
      <c r="C4" s="670"/>
      <c r="E4" s="72" t="s">
        <v>439</v>
      </c>
      <c r="F4" s="16" t="str">
        <f>IF(COUNTIF(R30:R34,"終了")=0,"継続","終了")</f>
        <v>継続</v>
      </c>
      <c r="G4" s="73" t="s">
        <v>104</v>
      </c>
      <c r="H4" s="17">
        <f>COUNTIF(E50:E55,G4)</f>
        <v>0</v>
      </c>
      <c r="I4" s="72" t="s">
        <v>9</v>
      </c>
      <c r="J4" s="17">
        <f>SUMPRODUCT(($S$50:$S$55="はい")*($AE$50:$AE$55&lt;&gt;"ＯＫ"))</f>
        <v>0</v>
      </c>
      <c r="K4" s="74" t="s">
        <v>83</v>
      </c>
      <c r="L4" s="18" t="str">
        <f>IF(COUNTIF(G21:G24,"")=0,AVERAGE(G21:G24),"未")</f>
        <v>未</v>
      </c>
      <c r="M4" s="433" t="s">
        <v>408</v>
      </c>
      <c r="N4" s="17">
        <f ca="1">SUMPRODUCT(($B30:$B34&lt;&gt;"")*($B30:$B34&lt;&gt;DATE(1900,1,0))*($B30:$B34&lt;TODAY()))-SUMPRODUCT(($B30:$B34&lt;&gt;"")*($B30:$B34&lt;&gt;DATE(1900,1,0))*($B30:$B34&lt;TODAY())*($J30:$J34&lt;&gt;"")*($K30:$K34&lt;&gt;"")*($L30:$L34&lt;&gt;"")*($O30:$O34&lt;&gt;"")*($P30:$P34&lt;&gt;"")*($Q30:$Q34&lt;&gt;""))</f>
        <v>0</v>
      </c>
      <c r="O4" s="433" t="s">
        <v>411</v>
      </c>
      <c r="P4" s="17">
        <f>SUMPRODUCT(($K$50:$K$55&lt;&gt;"")*($S$50:$S$55="はい")*($T$50:$T$55&lt;&gt;"")*($U$50:$U$55&lt;&gt;"")*($V$50:$V$55&lt;&gt;"")*($X$50:$X$55=""))+SUMPRODUCT(($K$50:$K$55&lt;&gt;"")*($S$50:$S$55="否")*($U$50:$U$55&lt;&gt;"")*($X$50:$X$55=""))</f>
        <v>0</v>
      </c>
      <c r="Q4" s="176" t="s">
        <v>97</v>
      </c>
      <c r="R4" s="436">
        <f>記録_レビュー時間</f>
        <v>0</v>
      </c>
      <c r="S4" s="437">
        <f>E21</f>
        <v>0</v>
      </c>
      <c r="V4" s="9">
        <f>COUNTIF(H50:I55,"[文章]*")</f>
        <v>0</v>
      </c>
    </row>
    <row r="5" spans="1:24" s="9" customFormat="1" ht="12" customHeight="1" thickBot="1">
      <c r="A5" s="8"/>
      <c r="B5" s="662"/>
      <c r="C5" s="671"/>
      <c r="E5" s="72" t="s">
        <v>440</v>
      </c>
      <c r="F5" s="19" t="str">
        <f>IF(J4=0,"済","未")</f>
        <v>済</v>
      </c>
      <c r="G5" s="156" t="s">
        <v>383</v>
      </c>
      <c r="H5" s="157">
        <f>COUNTIF(J50:J55,"○")</f>
        <v>0</v>
      </c>
      <c r="I5" s="72" t="s">
        <v>32</v>
      </c>
      <c r="J5" s="17">
        <f>COUNTIF($S$50:$S$55,I5)</f>
        <v>0</v>
      </c>
      <c r="K5" s="11" t="s">
        <v>94</v>
      </c>
      <c r="M5" s="433" t="s">
        <v>414</v>
      </c>
      <c r="N5" s="17">
        <f>SUMPRODUCT(($J30:$J34&lt;&gt;"")*($K30:$K34&lt;&gt;"")*($L30:$L34&lt;&gt;"")*($O30:$O34&lt;&gt;"")*($P30:$P34&lt;&gt;"")*($Q30:$Q34&lt;&gt;"")*($R30:$R34=""))</f>
        <v>0</v>
      </c>
      <c r="O5" s="433" t="s">
        <v>412</v>
      </c>
      <c r="P5" s="17">
        <f ca="1">SUMPRODUCT(($V$50:$V$55&lt;&gt;"")*($V$50:$V$55&lt;TODAY()))-SUMPRODUCT(($V$50:$V$55&lt;&gt;"")*($V$50:$V$55&lt;TODAY())*($Z$50:$Z$55&lt;&gt;"")*($AA$50:$AA$55&lt;&gt;"")*($AB$50:$AB$55&lt;&gt;"")*($AD$50:$AD$55="完了"))</f>
        <v>0</v>
      </c>
      <c r="Q5" s="176" t="s">
        <v>448</v>
      </c>
      <c r="R5" s="436">
        <f>記録_作成工数</f>
        <v>0</v>
      </c>
      <c r="S5" s="437">
        <f>E22</f>
        <v>0</v>
      </c>
    </row>
    <row r="6" spans="1:24" s="9" customFormat="1" ht="12" customHeight="1">
      <c r="A6" s="8"/>
      <c r="B6" s="662"/>
      <c r="C6" s="671"/>
      <c r="E6" s="72" t="s">
        <v>441</v>
      </c>
      <c r="F6" s="19" t="str">
        <f>IF(AND(F4="終了",F5="済",J7="無"),"可","不可")</f>
        <v>不可</v>
      </c>
      <c r="G6" s="72" t="s">
        <v>97</v>
      </c>
      <c r="H6" s="20">
        <f>E21</f>
        <v>0</v>
      </c>
      <c r="I6" s="75" t="s">
        <v>63</v>
      </c>
      <c r="J6" s="21">
        <f>COUNTIF($S$50:$S$55,"否")</f>
        <v>0</v>
      </c>
      <c r="K6" s="428" t="s">
        <v>91</v>
      </c>
      <c r="L6" s="22">
        <f>E23</f>
        <v>0</v>
      </c>
      <c r="M6" s="434"/>
      <c r="N6" s="161"/>
      <c r="O6" s="433" t="s">
        <v>413</v>
      </c>
      <c r="P6" s="21">
        <f>SUMPRODUCT(($Z$50:$Z$55&lt;&gt;"")*($AA$50:$AA$55&lt;&gt;"")*($AB$50:$AB$55&lt;&gt;"")*($AD$50:$AD$55="完了")*($AE$50:$AE$55=""))</f>
        <v>0</v>
      </c>
      <c r="Q6" s="176" t="s">
        <v>100</v>
      </c>
      <c r="R6" s="436">
        <f>記録_成果量</f>
        <v>0</v>
      </c>
      <c r="S6" s="437">
        <f>E23</f>
        <v>0</v>
      </c>
    </row>
    <row r="7" spans="1:24" s="9" customFormat="1" ht="12" customHeight="1" thickBot="1">
      <c r="A7" s="8"/>
      <c r="B7" s="663"/>
      <c r="C7" s="672"/>
      <c r="E7" s="166"/>
      <c r="F7" s="167"/>
      <c r="G7" s="23"/>
      <c r="H7" s="24"/>
      <c r="I7" s="74" t="s">
        <v>20</v>
      </c>
      <c r="J7" s="25" t="str">
        <f>IF(AND(COUNTIF(AF50:AF55,"記入漏")=0,L3&lt;&gt;"未"),"無","有")</f>
        <v>無</v>
      </c>
      <c r="K7" s="76" t="s">
        <v>50</v>
      </c>
      <c r="L7" s="26">
        <f>E22</f>
        <v>0</v>
      </c>
      <c r="M7" s="435"/>
      <c r="N7" s="162"/>
      <c r="O7" s="435"/>
      <c r="P7" s="162"/>
      <c r="Q7" s="177" t="s">
        <v>449</v>
      </c>
      <c r="R7" s="438">
        <f>記録_不具合件数</f>
        <v>0</v>
      </c>
      <c r="S7" s="439">
        <f>E24</f>
        <v>0</v>
      </c>
    </row>
    <row r="8" spans="1:24" s="9" customFormat="1" ht="12" customHeight="1">
      <c r="A8" s="8"/>
      <c r="B8" s="8"/>
      <c r="V8" s="27"/>
      <c r="W8" s="27"/>
      <c r="X8" s="27"/>
    </row>
    <row r="9" spans="1:24" s="9" customFormat="1" ht="14.25" thickBot="1">
      <c r="A9" s="57" t="s">
        <v>77</v>
      </c>
      <c r="B9" s="58"/>
      <c r="C9" s="59"/>
      <c r="D9" s="28"/>
      <c r="E9" s="28"/>
      <c r="F9" s="28"/>
      <c r="G9" s="28"/>
      <c r="H9" s="28"/>
      <c r="I9" s="28"/>
      <c r="J9" s="28"/>
      <c r="K9" s="29"/>
      <c r="Q9" s="30"/>
    </row>
    <row r="10" spans="1:24" s="30" customFormat="1" ht="14.25" customHeight="1" outlineLevel="1" thickBot="1">
      <c r="A10" s="54" t="s">
        <v>42</v>
      </c>
      <c r="B10" s="675" t="s">
        <v>72</v>
      </c>
      <c r="C10" s="676"/>
      <c r="D10" s="676"/>
      <c r="E10" s="676"/>
      <c r="F10" s="676"/>
      <c r="G10" s="676"/>
      <c r="H10" s="676"/>
      <c r="I10" s="515" t="s">
        <v>308</v>
      </c>
      <c r="J10" s="515" t="s">
        <v>309</v>
      </c>
      <c r="K10" s="53" t="s">
        <v>91</v>
      </c>
      <c r="L10" s="9"/>
    </row>
    <row r="11" spans="1:24" s="9" customFormat="1" ht="11.25" customHeight="1" outlineLevel="1" thickTop="1">
      <c r="A11" s="67" t="s">
        <v>278</v>
      </c>
      <c r="B11" s="673">
        <f>レビュー管理!H11</f>
        <v>0</v>
      </c>
      <c r="C11" s="674"/>
      <c r="D11" s="674"/>
      <c r="E11" s="674"/>
      <c r="F11" s="674"/>
      <c r="G11" s="674"/>
      <c r="H11" s="674"/>
      <c r="I11" s="440"/>
      <c r="J11" s="96"/>
      <c r="K11" s="94"/>
    </row>
    <row r="12" spans="1:24" s="9" customFormat="1" ht="11.25" customHeight="1" outlineLevel="1">
      <c r="A12" s="67" t="s">
        <v>279</v>
      </c>
      <c r="B12" s="686"/>
      <c r="C12" s="687"/>
      <c r="D12" s="687"/>
      <c r="E12" s="687"/>
      <c r="F12" s="687"/>
      <c r="G12" s="687"/>
      <c r="H12" s="687"/>
      <c r="I12" s="440"/>
      <c r="J12" s="96"/>
      <c r="K12" s="94"/>
    </row>
    <row r="13" spans="1:24" s="9" customFormat="1" ht="11.25" customHeight="1" outlineLevel="1">
      <c r="A13" s="67" t="s">
        <v>280</v>
      </c>
      <c r="B13" s="686"/>
      <c r="C13" s="687"/>
      <c r="D13" s="687"/>
      <c r="E13" s="687"/>
      <c r="F13" s="687"/>
      <c r="G13" s="687"/>
      <c r="H13" s="687"/>
      <c r="I13" s="440"/>
      <c r="J13" s="96"/>
      <c r="K13" s="94"/>
    </row>
    <row r="14" spans="1:24" s="9" customFormat="1" ht="11.25" customHeight="1" outlineLevel="1">
      <c r="A14" s="67" t="s">
        <v>281</v>
      </c>
      <c r="B14" s="686"/>
      <c r="C14" s="687"/>
      <c r="D14" s="687"/>
      <c r="E14" s="687"/>
      <c r="F14" s="687"/>
      <c r="G14" s="687"/>
      <c r="H14" s="687"/>
      <c r="I14" s="440"/>
      <c r="J14" s="96"/>
      <c r="K14" s="94"/>
    </row>
    <row r="15" spans="1:24" s="9" customFormat="1" ht="11.25" customHeight="1" outlineLevel="1">
      <c r="A15" s="67" t="s">
        <v>282</v>
      </c>
      <c r="B15" s="686"/>
      <c r="C15" s="687"/>
      <c r="D15" s="687"/>
      <c r="E15" s="687"/>
      <c r="F15" s="687"/>
      <c r="G15" s="687"/>
      <c r="H15" s="687"/>
      <c r="I15" s="440"/>
      <c r="J15" s="96"/>
      <c r="K15" s="94"/>
    </row>
    <row r="16" spans="1:24" s="9" customFormat="1" ht="12" outlineLevel="1" thickBot="1">
      <c r="A16" s="184" t="s">
        <v>452</v>
      </c>
      <c r="B16" s="181"/>
      <c r="C16" s="179"/>
      <c r="D16" s="179"/>
      <c r="E16" s="179"/>
      <c r="F16" s="179"/>
      <c r="G16" s="179"/>
      <c r="H16" s="180"/>
      <c r="I16" s="441"/>
      <c r="J16" s="182"/>
      <c r="K16" s="183"/>
      <c r="L16" s="11"/>
    </row>
    <row r="17" spans="1:45" s="9" customFormat="1" ht="11.25" customHeight="1" outlineLevel="1">
      <c r="A17" s="83"/>
      <c r="B17" s="90"/>
      <c r="C17" s="91"/>
      <c r="D17" s="91"/>
      <c r="E17" s="91"/>
      <c r="F17" s="91"/>
      <c r="G17" s="91"/>
      <c r="H17" s="91"/>
      <c r="I17" s="91"/>
      <c r="J17" s="93"/>
      <c r="K17" s="92"/>
      <c r="L17" s="37"/>
    </row>
    <row r="18" spans="1:45" s="9" customFormat="1" outlineLevel="1">
      <c r="A18" s="46"/>
      <c r="B18" s="37"/>
      <c r="C18" s="34"/>
      <c r="D18" s="37"/>
      <c r="E18" s="37"/>
      <c r="F18" s="37"/>
      <c r="G18" s="37"/>
      <c r="H18" s="37"/>
      <c r="I18" s="37"/>
      <c r="J18" s="37"/>
      <c r="K18" s="38"/>
      <c r="L18" s="34"/>
      <c r="M18" s="34"/>
      <c r="N18" s="34"/>
      <c r="O18" s="34"/>
      <c r="P18" s="34"/>
      <c r="Q18" s="34"/>
      <c r="R18" s="45"/>
      <c r="S18" s="45"/>
      <c r="U18" s="35"/>
      <c r="V18" s="35"/>
      <c r="W18" s="35"/>
      <c r="X18" s="35"/>
      <c r="Y18" s="35"/>
      <c r="Z18" s="35"/>
      <c r="AA18" s="35"/>
      <c r="AB18" s="35"/>
      <c r="AC18" s="39"/>
      <c r="AD18" s="39"/>
      <c r="AE18" s="35"/>
      <c r="AF18" s="35"/>
      <c r="AG18" s="36"/>
    </row>
    <row r="19" spans="1:45" s="9" customFormat="1" ht="14.25" thickBot="1">
      <c r="A19" s="49" t="s">
        <v>101</v>
      </c>
      <c r="C19" s="31"/>
      <c r="D19" s="32"/>
      <c r="E19" s="32"/>
      <c r="F19" s="32"/>
      <c r="G19" s="32"/>
      <c r="H19" s="32"/>
      <c r="J19" s="33"/>
    </row>
    <row r="20" spans="1:45" s="9" customFormat="1" ht="12" outlineLevel="1" thickBot="1">
      <c r="A20" s="54" t="s">
        <v>283</v>
      </c>
      <c r="B20" s="668" t="s">
        <v>52</v>
      </c>
      <c r="C20" s="669"/>
      <c r="D20" s="55" t="s">
        <v>379</v>
      </c>
      <c r="E20" s="55" t="s">
        <v>381</v>
      </c>
      <c r="F20" s="55" t="s">
        <v>71</v>
      </c>
      <c r="G20" s="517" t="s">
        <v>36</v>
      </c>
      <c r="H20" s="683" t="s">
        <v>45</v>
      </c>
      <c r="I20" s="684"/>
      <c r="J20" s="684"/>
      <c r="K20" s="684"/>
      <c r="L20" s="685"/>
      <c r="M20" s="34"/>
      <c r="N20" s="34"/>
      <c r="O20" s="34"/>
      <c r="R20" s="35"/>
      <c r="S20" s="35"/>
      <c r="T20" s="35"/>
      <c r="U20" s="35"/>
      <c r="V20" s="35"/>
      <c r="W20" s="35"/>
      <c r="X20" s="35"/>
      <c r="Y20" s="35"/>
      <c r="Z20" s="35"/>
      <c r="AA20" s="35"/>
      <c r="AB20" s="35"/>
      <c r="AC20" s="35"/>
      <c r="AD20" s="36"/>
    </row>
    <row r="21" spans="1:45" s="9" customFormat="1" ht="12" outlineLevel="1" thickTop="1">
      <c r="A21" s="40" t="s">
        <v>278</v>
      </c>
      <c r="B21" s="666" t="s">
        <v>404</v>
      </c>
      <c r="C21" s="667"/>
      <c r="D21" s="68"/>
      <c r="E21" s="147"/>
      <c r="F21" s="69" t="str">
        <f>IF(D21="","",E21/D21)</f>
        <v/>
      </c>
      <c r="G21" s="70"/>
      <c r="H21" s="677"/>
      <c r="I21" s="678"/>
      <c r="J21" s="678"/>
      <c r="K21" s="678"/>
      <c r="L21" s="679"/>
      <c r="M21" s="34"/>
      <c r="N21" s="34"/>
      <c r="O21" s="34"/>
      <c r="R21" s="35"/>
      <c r="S21" s="35"/>
      <c r="T21" s="35"/>
      <c r="U21" s="35"/>
      <c r="V21" s="35"/>
      <c r="W21" s="35"/>
      <c r="X21" s="35"/>
      <c r="Y21" s="35"/>
      <c r="Z21" s="35"/>
      <c r="AA21" s="35"/>
      <c r="AB21" s="35"/>
      <c r="AC21" s="35"/>
      <c r="AD21" s="36"/>
    </row>
    <row r="22" spans="1:45" s="9" customFormat="1" ht="11.25" customHeight="1" outlineLevel="1">
      <c r="A22" s="43" t="s">
        <v>279</v>
      </c>
      <c r="B22" s="664" t="s">
        <v>405</v>
      </c>
      <c r="C22" s="665"/>
      <c r="D22" s="60"/>
      <c r="E22" s="147"/>
      <c r="F22" s="61" t="str">
        <f>IF(D22="","",E22/D22)</f>
        <v/>
      </c>
      <c r="G22" s="62"/>
      <c r="H22" s="680"/>
      <c r="I22" s="681"/>
      <c r="J22" s="681"/>
      <c r="K22" s="681"/>
      <c r="L22" s="682"/>
      <c r="M22" s="35"/>
      <c r="N22" s="35"/>
      <c r="O22" s="35"/>
      <c r="P22" s="35"/>
      <c r="Q22" s="35"/>
      <c r="R22" s="35"/>
      <c r="S22" s="35"/>
      <c r="T22" s="35"/>
      <c r="U22" s="35"/>
      <c r="V22" s="35"/>
      <c r="W22" s="35"/>
      <c r="X22" s="35"/>
      <c r="Y22" s="35"/>
      <c r="Z22" s="35"/>
      <c r="AA22" s="35"/>
    </row>
    <row r="23" spans="1:45" s="9" customFormat="1" ht="11.25" customHeight="1" outlineLevel="1">
      <c r="A23" s="43" t="s">
        <v>280</v>
      </c>
      <c r="B23" s="664" t="s">
        <v>100</v>
      </c>
      <c r="C23" s="665"/>
      <c r="D23" s="60"/>
      <c r="E23" s="84">
        <f>SUM(K11:K16)</f>
        <v>0</v>
      </c>
      <c r="F23" s="61" t="str">
        <f>IF(D23="","",E23/D23)</f>
        <v/>
      </c>
      <c r="G23" s="62"/>
      <c r="H23" s="680"/>
      <c r="I23" s="681"/>
      <c r="J23" s="681"/>
      <c r="K23" s="681"/>
      <c r="L23" s="682"/>
      <c r="M23" s="35"/>
      <c r="N23" s="35"/>
      <c r="O23" s="35"/>
      <c r="P23" s="35"/>
      <c r="Q23" s="35"/>
      <c r="R23" s="35"/>
      <c r="S23" s="35"/>
      <c r="T23" s="35"/>
      <c r="U23" s="35"/>
      <c r="V23" s="35"/>
      <c r="W23" s="35"/>
      <c r="X23" s="35"/>
      <c r="Y23" s="35"/>
      <c r="Z23" s="35"/>
      <c r="AA23" s="35"/>
    </row>
    <row r="24" spans="1:45" s="9" customFormat="1" ht="12" outlineLevel="1" thickBot="1">
      <c r="A24" s="63" t="s">
        <v>51</v>
      </c>
      <c r="B24" s="690" t="s">
        <v>406</v>
      </c>
      <c r="C24" s="690"/>
      <c r="D24" s="64"/>
      <c r="E24" s="85">
        <f>H3</f>
        <v>0</v>
      </c>
      <c r="F24" s="65" t="str">
        <f>IF(D24="","",E24/D24)</f>
        <v/>
      </c>
      <c r="G24" s="66"/>
      <c r="H24" s="691"/>
      <c r="I24" s="692"/>
      <c r="J24" s="692"/>
      <c r="K24" s="692"/>
      <c r="L24" s="693"/>
      <c r="M24" s="34"/>
      <c r="N24" s="34"/>
      <c r="O24" s="34"/>
      <c r="R24" s="35"/>
      <c r="S24" s="35"/>
      <c r="T24" s="35"/>
      <c r="U24" s="35"/>
      <c r="V24" s="35"/>
      <c r="W24" s="35"/>
      <c r="X24" s="35"/>
      <c r="Y24" s="35"/>
      <c r="Z24" s="35"/>
      <c r="AA24" s="35"/>
      <c r="AB24" s="35"/>
      <c r="AC24" s="35"/>
      <c r="AD24" s="36"/>
    </row>
    <row r="25" spans="1:45" s="9" customFormat="1" outlineLevel="1">
      <c r="A25" s="46"/>
      <c r="B25" s="37"/>
      <c r="C25" s="34"/>
      <c r="D25" s="37"/>
      <c r="E25" s="37"/>
      <c r="F25" s="37"/>
      <c r="G25" s="37"/>
      <c r="H25" s="37"/>
      <c r="I25" s="37"/>
      <c r="J25" s="37"/>
      <c r="K25" s="38"/>
      <c r="L25" s="34"/>
      <c r="M25" s="34"/>
      <c r="N25" s="34"/>
      <c r="O25" s="45"/>
      <c r="Q25" s="35"/>
      <c r="R25" s="35"/>
      <c r="S25" s="35"/>
      <c r="T25" s="35"/>
      <c r="U25" s="35"/>
      <c r="V25" s="35"/>
      <c r="W25" s="35"/>
      <c r="X25" s="35"/>
      <c r="Y25" s="39"/>
      <c r="Z25" s="39"/>
      <c r="AA25" s="35"/>
      <c r="AB25" s="35"/>
      <c r="AC25" s="36"/>
    </row>
    <row r="26" spans="1:45" s="9" customFormat="1" ht="14.25" thickBot="1">
      <c r="A26" s="158" t="s">
        <v>240</v>
      </c>
      <c r="B26" s="37"/>
      <c r="C26" s="34"/>
      <c r="D26" s="37"/>
      <c r="E26" s="82"/>
      <c r="F26" s="37"/>
      <c r="G26" s="37"/>
      <c r="H26" s="37"/>
      <c r="I26" s="37"/>
      <c r="J26" s="37"/>
      <c r="K26" s="37"/>
      <c r="L26" s="37"/>
      <c r="M26" s="37"/>
      <c r="N26" s="37"/>
      <c r="O26" s="37"/>
      <c r="P26" s="37"/>
      <c r="Q26" s="37"/>
      <c r="R26" s="37"/>
      <c r="S26" s="165"/>
      <c r="T26" s="165"/>
      <c r="U26" s="34"/>
      <c r="V26" s="34"/>
      <c r="W26" s="34"/>
      <c r="X26" s="34"/>
      <c r="Y26" s="34"/>
      <c r="Z26" s="34"/>
      <c r="AA26" s="34"/>
      <c r="AB26" s="34"/>
      <c r="AC26" s="34"/>
      <c r="AD26" s="34"/>
      <c r="AE26" s="34"/>
      <c r="AF26" s="34"/>
      <c r="AG26" s="34"/>
      <c r="AH26" s="34"/>
      <c r="AI26" s="34"/>
      <c r="AJ26" s="34"/>
      <c r="AK26" s="34"/>
      <c r="AL26" s="34"/>
      <c r="AM26" s="39"/>
      <c r="AN26" s="35"/>
      <c r="AO26" s="35"/>
      <c r="AP26" s="35"/>
      <c r="AQ26" s="35"/>
      <c r="AR26" s="35"/>
      <c r="AS26" s="36"/>
    </row>
    <row r="27" spans="1:45" s="9" customFormat="1" ht="14.25" customHeight="1" outlineLevel="1">
      <c r="A27" s="712" t="s">
        <v>17</v>
      </c>
      <c r="B27" s="608" t="s">
        <v>379</v>
      </c>
      <c r="C27" s="609"/>
      <c r="D27" s="609"/>
      <c r="E27" s="609"/>
      <c r="F27" s="609"/>
      <c r="G27" s="609"/>
      <c r="H27" s="609"/>
      <c r="I27" s="610"/>
      <c r="J27" s="617" t="s">
        <v>381</v>
      </c>
      <c r="K27" s="618"/>
      <c r="L27" s="618"/>
      <c r="M27" s="618"/>
      <c r="N27" s="618"/>
      <c r="O27" s="618"/>
      <c r="P27" s="618"/>
      <c r="Q27" s="619"/>
      <c r="R27" s="593" t="s">
        <v>105</v>
      </c>
      <c r="S27" s="596" t="s">
        <v>438</v>
      </c>
      <c r="T27" s="599" t="s">
        <v>437</v>
      </c>
      <c r="U27" s="34"/>
      <c r="V27" s="34"/>
      <c r="W27" s="34"/>
      <c r="X27" s="34"/>
      <c r="Y27" s="34"/>
      <c r="Z27" s="34"/>
      <c r="AA27" s="34"/>
      <c r="AB27" s="34"/>
      <c r="AC27" s="34"/>
      <c r="AD27" s="34"/>
      <c r="AE27" s="34"/>
      <c r="AF27" s="34"/>
      <c r="AG27" s="34"/>
      <c r="AH27" s="34"/>
      <c r="AI27" s="34"/>
      <c r="AJ27" s="34"/>
      <c r="AK27" s="34"/>
      <c r="AL27" s="39"/>
      <c r="AM27" s="35"/>
      <c r="AN27" s="35"/>
      <c r="AO27" s="35"/>
      <c r="AP27" s="35"/>
      <c r="AQ27" s="35"/>
      <c r="AR27" s="36"/>
    </row>
    <row r="28" spans="1:45" s="9" customFormat="1" ht="14.25" customHeight="1" outlineLevel="1">
      <c r="A28" s="713"/>
      <c r="B28" s="620" t="s">
        <v>67</v>
      </c>
      <c r="C28" s="621" t="s">
        <v>380</v>
      </c>
      <c r="D28" s="706" t="s">
        <v>378</v>
      </c>
      <c r="E28" s="707"/>
      <c r="F28" s="708"/>
      <c r="G28" s="697" t="s">
        <v>427</v>
      </c>
      <c r="H28" s="698"/>
      <c r="I28" s="699"/>
      <c r="J28" s="620" t="s">
        <v>13</v>
      </c>
      <c r="K28" s="621" t="s">
        <v>380</v>
      </c>
      <c r="L28" s="623" t="s">
        <v>428</v>
      </c>
      <c r="M28" s="624"/>
      <c r="N28" s="625"/>
      <c r="O28" s="614" t="s">
        <v>427</v>
      </c>
      <c r="P28" s="615"/>
      <c r="Q28" s="616"/>
      <c r="R28" s="594"/>
      <c r="S28" s="597"/>
      <c r="T28" s="600"/>
      <c r="U28" s="35"/>
      <c r="V28" s="35"/>
      <c r="W28" s="35"/>
      <c r="X28" s="35"/>
      <c r="Y28" s="35"/>
      <c r="Z28" s="35"/>
      <c r="AA28" s="35"/>
      <c r="AB28" s="35"/>
      <c r="AC28" s="35"/>
      <c r="AD28" s="35"/>
      <c r="AE28" s="35"/>
      <c r="AF28" s="39"/>
      <c r="AG28" s="39"/>
      <c r="AH28" s="35"/>
      <c r="AI28" s="35"/>
      <c r="AJ28" s="35"/>
      <c r="AK28" s="35"/>
    </row>
    <row r="29" spans="1:45" s="9" customFormat="1" ht="14.25" customHeight="1" outlineLevel="1" thickBot="1">
      <c r="A29" s="714"/>
      <c r="B29" s="595"/>
      <c r="C29" s="622"/>
      <c r="D29" s="709"/>
      <c r="E29" s="710"/>
      <c r="F29" s="711"/>
      <c r="G29" s="442" t="s">
        <v>471</v>
      </c>
      <c r="H29" s="442" t="s">
        <v>472</v>
      </c>
      <c r="I29" s="442" t="s">
        <v>473</v>
      </c>
      <c r="J29" s="595"/>
      <c r="K29" s="622"/>
      <c r="L29" s="626"/>
      <c r="M29" s="627"/>
      <c r="N29" s="628"/>
      <c r="O29" s="514" t="s">
        <v>471</v>
      </c>
      <c r="P29" s="514" t="s">
        <v>472</v>
      </c>
      <c r="Q29" s="514" t="s">
        <v>473</v>
      </c>
      <c r="R29" s="595"/>
      <c r="S29" s="598"/>
      <c r="T29" s="601"/>
      <c r="U29" s="35"/>
      <c r="V29" s="35"/>
      <c r="W29" s="35"/>
      <c r="X29" s="35"/>
      <c r="Y29" s="35"/>
      <c r="Z29" s="35"/>
      <c r="AA29" s="35"/>
      <c r="AB29" s="35"/>
      <c r="AC29" s="35"/>
      <c r="AD29" s="35"/>
      <c r="AE29" s="35"/>
      <c r="AF29" s="39"/>
      <c r="AG29" s="39"/>
      <c r="AH29" s="35"/>
      <c r="AI29" s="35"/>
      <c r="AJ29" s="35"/>
      <c r="AK29" s="35"/>
    </row>
    <row r="30" spans="1:45" s="9" customFormat="1" ht="12" outlineLevel="1" thickTop="1">
      <c r="A30" s="151">
        <v>1</v>
      </c>
      <c r="B30" s="472">
        <f>レビュー管理!J11</f>
        <v>0</v>
      </c>
      <c r="C30" s="41"/>
      <c r="D30" s="611"/>
      <c r="E30" s="612"/>
      <c r="F30" s="613"/>
      <c r="G30" s="482"/>
      <c r="H30" s="483"/>
      <c r="I30" s="483"/>
      <c r="J30" s="477"/>
      <c r="K30" s="41"/>
      <c r="L30" s="700"/>
      <c r="M30" s="701"/>
      <c r="N30" s="702"/>
      <c r="O30" s="487"/>
      <c r="P30" s="487"/>
      <c r="Q30" s="487"/>
      <c r="R30" s="42"/>
      <c r="S30" s="163" t="str">
        <f>IF(OR(OR(B30=DATE(1900,1,0),C30="",D30="",G30="",H30="",I30=""),OR(B30="",C30="",D30="",G30="",H30="",I30="")),"未計画","")</f>
        <v>未計画</v>
      </c>
      <c r="T30" s="47" t="str">
        <f ca="1">IF(OR(AND(J30&lt;&gt;"",OR(K30="",L30="",O30="",P30="",Q30="",R30="")),AND(J30="",OR(AND(B30&lt;&gt;DATE(1900,1,0),B30&lt;TODAY()),OR(K30&lt;&gt;"",L30&lt;&gt;"",O30&lt;&gt;"",P30&lt;&gt;"",Q30&lt;&gt;"",R30&lt;&gt;"")))),"未実施","")</f>
        <v/>
      </c>
      <c r="U30" s="35"/>
      <c r="V30" s="35"/>
      <c r="W30" s="35"/>
      <c r="X30" s="35"/>
      <c r="Y30" s="35"/>
      <c r="Z30" s="35"/>
      <c r="AA30" s="35"/>
      <c r="AB30" s="35"/>
      <c r="AC30" s="35"/>
      <c r="AD30" s="35"/>
      <c r="AE30" s="35"/>
      <c r="AF30" s="39"/>
      <c r="AG30" s="39"/>
      <c r="AH30" s="35"/>
      <c r="AI30" s="35"/>
      <c r="AJ30" s="35"/>
      <c r="AK30" s="35"/>
    </row>
    <row r="31" spans="1:45" s="9" customFormat="1" outlineLevel="1">
      <c r="A31" s="152"/>
      <c r="B31" s="473"/>
      <c r="C31" s="44"/>
      <c r="D31" s="605"/>
      <c r="E31" s="606"/>
      <c r="F31" s="607"/>
      <c r="G31" s="481"/>
      <c r="H31" s="481"/>
      <c r="I31" s="481"/>
      <c r="J31" s="478"/>
      <c r="K31" s="44"/>
      <c r="L31" s="694"/>
      <c r="M31" s="695"/>
      <c r="N31" s="696"/>
      <c r="O31" s="486"/>
      <c r="P31" s="518"/>
      <c r="Q31" s="518"/>
      <c r="R31" s="42"/>
      <c r="S31" s="164" t="str">
        <f>IF(AND(B31&lt;&gt;"",C31&lt;&gt;"",D31&lt;&gt;"",G31&lt;&gt;"",H31&lt;&gt;"",I31&lt;&gt;""),"",IF(R30="継続","未計画",IF(OR(B31&lt;&gt;"",C31&lt;&gt;"",D31&lt;&gt;"",G31&lt;&gt;"",H31&lt;&gt;"",I31&lt;&gt;""),"未計画","")))</f>
        <v/>
      </c>
      <c r="T31" s="17" t="str">
        <f ca="1">IF(AND(B31="",C31="",D31="",G31="",H31="",I31=""),"",IF(OR(AND(J31&lt;&gt;"",OR(K31="",L31="",O31="",P31="",Q31="",R31="")),AND(J31="",OR(B31&lt;TODAY(),OR(K31&lt;&gt;"",L31&lt;&gt;"",O31&lt;&gt;"",P31&lt;&gt;"",Q31&lt;&gt;"",R31&lt;&gt;"")))),"未実施",""))</f>
        <v/>
      </c>
      <c r="U31" s="35"/>
      <c r="V31" s="35"/>
      <c r="W31" s="35"/>
      <c r="X31" s="35"/>
      <c r="Y31" s="35"/>
      <c r="Z31" s="35"/>
      <c r="AA31" s="35"/>
      <c r="AB31" s="35"/>
      <c r="AC31" s="35"/>
      <c r="AD31" s="35"/>
      <c r="AE31" s="35"/>
      <c r="AF31" s="39"/>
      <c r="AG31" s="39"/>
      <c r="AH31" s="35"/>
      <c r="AI31" s="35"/>
      <c r="AJ31" s="35"/>
      <c r="AK31" s="35"/>
    </row>
    <row r="32" spans="1:45" s="9" customFormat="1" outlineLevel="1">
      <c r="A32" s="152"/>
      <c r="B32" s="473"/>
      <c r="C32" s="44"/>
      <c r="D32" s="605"/>
      <c r="E32" s="606"/>
      <c r="F32" s="607"/>
      <c r="G32" s="481"/>
      <c r="H32" s="481"/>
      <c r="I32" s="481"/>
      <c r="J32" s="478"/>
      <c r="K32" s="44"/>
      <c r="L32" s="694"/>
      <c r="M32" s="695"/>
      <c r="N32" s="696"/>
      <c r="O32" s="518"/>
      <c r="P32" s="518"/>
      <c r="Q32" s="518"/>
      <c r="R32" s="42"/>
      <c r="S32" s="164" t="str">
        <f>IF(AND(B32&lt;&gt;"",C32&lt;&gt;"",D32&lt;&gt;"",G32&lt;&gt;"",H32&lt;&gt;"",I32&lt;&gt;""),"",IF(R31="継続","未計画",IF(OR(B32&lt;&gt;"",C32&lt;&gt;"",D32&lt;&gt;"",G32&lt;&gt;"",H32&lt;&gt;"",I32&lt;&gt;""),"未計画","")))</f>
        <v/>
      </c>
      <c r="T32" s="17" t="str">
        <f ca="1">IF(AND(B32="",C32="",D32="",G32="",H32="",I32=""),"",IF(OR(AND(J32&lt;&gt;"",OR(K32="",L32="",O32="",P32="",Q32="",R32="")),AND(J32="",OR(B32&lt;TODAY(),OR(K32&lt;&gt;"",L32&lt;&gt;"",O32&lt;&gt;"",P32&lt;&gt;"",Q32&lt;&gt;"",R32&lt;&gt;"")))),"未実施",""))</f>
        <v/>
      </c>
      <c r="U32" s="35"/>
      <c r="V32" s="35"/>
      <c r="W32" s="35"/>
      <c r="X32" s="35"/>
      <c r="Y32" s="35"/>
      <c r="Z32" s="35"/>
      <c r="AA32" s="35"/>
      <c r="AB32" s="35"/>
      <c r="AC32" s="35"/>
      <c r="AD32" s="35"/>
      <c r="AE32" s="35"/>
      <c r="AF32" s="39"/>
      <c r="AG32" s="39"/>
      <c r="AH32" s="35"/>
      <c r="AI32" s="35"/>
      <c r="AJ32" s="35"/>
      <c r="AK32" s="35"/>
    </row>
    <row r="33" spans="1:43" s="9" customFormat="1" outlineLevel="1">
      <c r="A33" s="152"/>
      <c r="B33" s="473"/>
      <c r="C33" s="44"/>
      <c r="D33" s="703"/>
      <c r="E33" s="704"/>
      <c r="F33" s="705"/>
      <c r="G33" s="481"/>
      <c r="H33" s="481"/>
      <c r="I33" s="481"/>
      <c r="J33" s="478"/>
      <c r="K33" s="44"/>
      <c r="L33" s="694"/>
      <c r="M33" s="695"/>
      <c r="N33" s="696"/>
      <c r="O33" s="518"/>
      <c r="P33" s="518"/>
      <c r="Q33" s="518"/>
      <c r="R33" s="42"/>
      <c r="S33" s="164" t="str">
        <f>IF(AND(B33&lt;&gt;"",C33&lt;&gt;"",D33&lt;&gt;"",G33&lt;&gt;"",H33&lt;&gt;"",I33&lt;&gt;""),"",IF(R32="継続","未計画",IF(OR(B33&lt;&gt;"",C33&lt;&gt;"",D33&lt;&gt;"",G33&lt;&gt;"",H33&lt;&gt;"",I33&lt;&gt;""),"未計画","")))</f>
        <v/>
      </c>
      <c r="T33" s="17" t="str">
        <f ca="1">IF(AND(B33="",C33="",D33="",G33="",H33="",I33=""),"",IF(OR(AND(J33&lt;&gt;"",OR(K33="",L33="",O33="",P33="",Q33="",R33="")),AND(J33="",OR(B33&lt;TODAY(),OR(K33&lt;&gt;"",L33&lt;&gt;"",O33&lt;&gt;"",P33&lt;&gt;"",Q33&lt;&gt;"",R33&lt;&gt;"")))),"未実施",""))</f>
        <v/>
      </c>
      <c r="U33" s="35"/>
      <c r="V33" s="35"/>
      <c r="W33" s="35"/>
      <c r="X33" s="35"/>
      <c r="Y33" s="35"/>
      <c r="Z33" s="35"/>
      <c r="AA33" s="35"/>
      <c r="AB33" s="35"/>
      <c r="AC33" s="35"/>
      <c r="AD33" s="35"/>
      <c r="AE33" s="35"/>
      <c r="AF33" s="39"/>
      <c r="AG33" s="39"/>
      <c r="AH33" s="35"/>
      <c r="AI33" s="35"/>
      <c r="AJ33" s="35"/>
      <c r="AK33" s="35"/>
    </row>
    <row r="34" spans="1:43" s="9" customFormat="1" ht="12" outlineLevel="1" thickBot="1">
      <c r="A34" s="185" t="s">
        <v>453</v>
      </c>
      <c r="B34" s="474"/>
      <c r="C34" s="178"/>
      <c r="D34" s="187"/>
      <c r="E34" s="188"/>
      <c r="F34" s="189"/>
      <c r="G34" s="178"/>
      <c r="H34" s="178"/>
      <c r="I34" s="189"/>
      <c r="J34" s="479"/>
      <c r="K34" s="178"/>
      <c r="L34" s="443"/>
      <c r="M34" s="444"/>
      <c r="N34" s="445"/>
      <c r="O34" s="187"/>
      <c r="P34" s="178"/>
      <c r="Q34" s="189"/>
      <c r="R34" s="190"/>
      <c r="S34" s="488" t="str">
        <f>IF(AND(B34&lt;&gt;"",C34&lt;&gt;"",D34&lt;&gt;"",G34&lt;&gt;"",H34&lt;&gt;"",I34&lt;&gt;""),"",IF(R33="継続","未計画",IF(OR(B34&lt;&gt;"",C34&lt;&gt;"",D34&lt;&gt;"",G34&lt;&gt;"",H34&lt;&gt;"",I34&lt;&gt;""),"未計画","")))</f>
        <v/>
      </c>
      <c r="T34" s="489" t="str">
        <f ca="1">IF(AND(B34="",C34="",D34="",G34="",H34="",I34=""),"",IF(OR(AND(J34&lt;&gt;"",OR(K34="",L34="",O34="",P34="",Q34="",R34="")),AND(J34="",OR(B34&lt;TODAY(),OR(K34&lt;&gt;"",L34&lt;&gt;"",O34&lt;&gt;"",P34&lt;&gt;"",Q34&lt;&gt;"",R34&lt;&gt;"")))),"未実施",""))</f>
        <v/>
      </c>
      <c r="U34" s="11"/>
      <c r="V34" s="35"/>
      <c r="W34" s="35"/>
      <c r="X34" s="35"/>
      <c r="Y34" s="35"/>
      <c r="Z34" s="35"/>
      <c r="AA34" s="35"/>
      <c r="AB34" s="35"/>
      <c r="AC34" s="35"/>
      <c r="AD34" s="35"/>
      <c r="AE34" s="35"/>
      <c r="AF34" s="39"/>
      <c r="AG34" s="39"/>
      <c r="AH34" s="35"/>
      <c r="AI34" s="35"/>
      <c r="AJ34" s="35"/>
      <c r="AK34" s="35"/>
    </row>
    <row r="35" spans="1:43" s="9" customFormat="1" outlineLevel="1">
      <c r="A35" s="46"/>
      <c r="B35" s="37"/>
      <c r="F35" s="37"/>
      <c r="G35" s="37"/>
      <c r="H35" s="37"/>
      <c r="I35" s="37"/>
      <c r="J35" s="37"/>
      <c r="K35" s="37"/>
      <c r="L35" s="37"/>
      <c r="M35" s="37"/>
      <c r="N35" s="37"/>
      <c r="O35" s="37"/>
      <c r="P35" s="37"/>
      <c r="Q35" s="34"/>
      <c r="R35" s="37"/>
      <c r="S35" s="37"/>
      <c r="T35" s="37"/>
      <c r="U35" s="38"/>
      <c r="V35" s="34"/>
      <c r="W35" s="34"/>
      <c r="X35" s="34"/>
      <c r="Y35" s="34"/>
      <c r="Z35" s="34"/>
      <c r="AA35" s="34"/>
      <c r="AB35" s="45"/>
      <c r="AC35" s="45"/>
      <c r="AE35" s="35"/>
      <c r="AF35" s="35"/>
      <c r="AG35" s="35"/>
      <c r="AH35" s="35"/>
      <c r="AI35" s="35"/>
      <c r="AJ35" s="35"/>
      <c r="AK35" s="35"/>
      <c r="AL35" s="35"/>
      <c r="AM35" s="39"/>
      <c r="AN35" s="39"/>
      <c r="AO35" s="35"/>
      <c r="AP35" s="35"/>
      <c r="AQ35" s="36"/>
    </row>
    <row r="36" spans="1:43" s="9" customFormat="1" ht="14.25" thickBot="1">
      <c r="A36" s="158" t="s">
        <v>485</v>
      </c>
      <c r="B36" s="37"/>
      <c r="C36" s="34"/>
      <c r="D36" s="83"/>
      <c r="E36" s="83" t="s">
        <v>486</v>
      </c>
      <c r="F36" s="37"/>
      <c r="G36" s="37"/>
      <c r="H36" s="37"/>
      <c r="I36" s="37"/>
      <c r="J36" s="37"/>
      <c r="K36" s="38"/>
      <c r="L36" s="38"/>
      <c r="M36" s="34"/>
      <c r="N36" s="34"/>
      <c r="O36" s="34"/>
      <c r="P36" s="34"/>
      <c r="Q36" s="34"/>
      <c r="R36" s="34"/>
      <c r="S36" s="45"/>
      <c r="T36" s="45"/>
      <c r="V36" s="35"/>
      <c r="W36" s="35"/>
      <c r="X36" s="35"/>
      <c r="Y36" s="35"/>
      <c r="Z36" s="35"/>
      <c r="AA36" s="35"/>
      <c r="AB36" s="35"/>
      <c r="AC36" s="35"/>
      <c r="AD36" s="39"/>
      <c r="AE36" s="39"/>
      <c r="AF36" s="35"/>
      <c r="AG36" s="35"/>
      <c r="AH36" s="36"/>
    </row>
    <row r="37" spans="1:43" s="9" customFormat="1" ht="24.95" customHeight="1" outlineLevel="1" thickBot="1">
      <c r="A37" s="688" t="s">
        <v>484</v>
      </c>
      <c r="B37" s="689"/>
      <c r="C37" s="689"/>
      <c r="D37" s="689"/>
      <c r="E37" s="689"/>
      <c r="F37" s="689"/>
      <c r="G37" s="634" t="s">
        <v>16</v>
      </c>
      <c r="H37" s="635"/>
      <c r="I37" s="635"/>
      <c r="J37" s="635"/>
      <c r="K37" s="636"/>
      <c r="L37" s="144"/>
      <c r="M37" s="144"/>
    </row>
    <row r="38" spans="1:43" s="9" customFormat="1" ht="84" customHeight="1" outlineLevel="1" thickTop="1" thickBot="1">
      <c r="A38" s="629" t="s">
        <v>479</v>
      </c>
      <c r="B38" s="629"/>
      <c r="C38" s="629"/>
      <c r="D38" s="629"/>
      <c r="E38" s="629"/>
      <c r="F38" s="630"/>
      <c r="G38" s="631" t="s">
        <v>478</v>
      </c>
      <c r="H38" s="632"/>
      <c r="I38" s="632"/>
      <c r="J38" s="632"/>
      <c r="K38" s="633"/>
      <c r="L38" s="144"/>
      <c r="M38" s="144"/>
    </row>
    <row r="39" spans="1:43" s="9" customFormat="1" outlineLevel="1">
      <c r="A39" s="46"/>
      <c r="B39" s="37"/>
      <c r="C39" s="34"/>
      <c r="D39" s="37"/>
      <c r="E39" s="37"/>
      <c r="F39" s="37"/>
      <c r="G39" s="37"/>
      <c r="H39" s="37"/>
      <c r="I39" s="37"/>
      <c r="J39" s="37"/>
      <c r="K39" s="38"/>
      <c r="L39" s="34"/>
      <c r="M39" s="34"/>
      <c r="N39" s="34"/>
      <c r="O39" s="34"/>
      <c r="P39" s="34"/>
      <c r="Q39" s="34"/>
      <c r="R39" s="45"/>
      <c r="S39" s="45"/>
      <c r="U39" s="35"/>
      <c r="V39" s="35"/>
      <c r="W39" s="35"/>
      <c r="X39" s="35"/>
      <c r="Y39" s="35"/>
      <c r="Z39" s="35"/>
      <c r="AA39" s="35"/>
      <c r="AB39" s="35"/>
      <c r="AC39" s="39"/>
      <c r="AD39" s="39"/>
      <c r="AE39" s="35"/>
      <c r="AF39" s="35"/>
      <c r="AG39" s="36"/>
    </row>
    <row r="40" spans="1:43" s="9" customFormat="1" ht="15.75" outlineLevel="1" thickBot="1">
      <c r="A40" s="158" t="s">
        <v>118</v>
      </c>
      <c r="B40" s="148"/>
      <c r="C40" s="83" t="s">
        <v>377</v>
      </c>
      <c r="D40" s="87"/>
      <c r="E40" s="37"/>
      <c r="F40" s="37"/>
      <c r="G40" s="37"/>
      <c r="H40" s="37"/>
      <c r="I40" s="37"/>
      <c r="J40" s="38"/>
      <c r="K40" s="34"/>
      <c r="L40" s="34"/>
      <c r="M40" s="34"/>
      <c r="N40" s="34"/>
      <c r="O40" s="34"/>
      <c r="P40" s="34"/>
      <c r="Q40" s="45"/>
      <c r="R40" s="45"/>
      <c r="T40" s="35"/>
      <c r="U40" s="35"/>
      <c r="V40" s="35"/>
      <c r="W40" s="35"/>
      <c r="X40" s="35"/>
      <c r="Y40" s="35"/>
      <c r="Z40" s="35"/>
      <c r="AA40" s="35"/>
      <c r="AB40" s="39"/>
      <c r="AC40" s="39"/>
      <c r="AD40" s="35"/>
      <c r="AE40" s="35"/>
      <c r="AF40" s="36"/>
    </row>
    <row r="41" spans="1:43" s="9" customFormat="1" ht="12" outlineLevel="1" thickBot="1">
      <c r="A41" s="54" t="s">
        <v>39</v>
      </c>
      <c r="B41" s="602" t="s">
        <v>117</v>
      </c>
      <c r="C41" s="603"/>
      <c r="D41" s="603"/>
      <c r="E41" s="604"/>
      <c r="F41" s="516" t="s">
        <v>287</v>
      </c>
      <c r="G41" s="602" t="s">
        <v>367</v>
      </c>
      <c r="H41" s="603"/>
      <c r="I41" s="604"/>
      <c r="J41" s="524" t="s">
        <v>180</v>
      </c>
      <c r="K41" s="53" t="s">
        <v>20</v>
      </c>
      <c r="L41" s="35"/>
      <c r="M41" s="35"/>
      <c r="N41" s="35"/>
      <c r="O41" s="35"/>
      <c r="P41" s="35"/>
      <c r="Q41" s="35"/>
      <c r="R41" s="35"/>
      <c r="S41" s="35"/>
      <c r="T41" s="35"/>
      <c r="U41" s="35"/>
      <c r="V41" s="35"/>
      <c r="W41" s="35"/>
      <c r="X41" s="39"/>
      <c r="Y41" s="39"/>
      <c r="Z41" s="35"/>
      <c r="AA41" s="35"/>
      <c r="AB41" s="35"/>
      <c r="AC41" s="35"/>
    </row>
    <row r="42" spans="1:43" s="9" customFormat="1" ht="21.75" customHeight="1" outlineLevel="1" thickTop="1">
      <c r="A42" s="446"/>
      <c r="B42" s="643"/>
      <c r="C42" s="644"/>
      <c r="D42" s="644"/>
      <c r="E42" s="645"/>
      <c r="F42" s="149"/>
      <c r="G42" s="646"/>
      <c r="H42" s="647"/>
      <c r="I42" s="648"/>
      <c r="J42" s="86"/>
      <c r="K42" s="448" t="str">
        <f>IF(B42="","",IF(OR(J42="",G42=""),"×",""))</f>
        <v/>
      </c>
      <c r="L42" s="35"/>
      <c r="M42" s="35"/>
      <c r="N42" s="35"/>
      <c r="O42" s="35"/>
      <c r="P42" s="35"/>
      <c r="Q42" s="35"/>
      <c r="R42" s="35"/>
      <c r="S42" s="35"/>
      <c r="T42" s="35"/>
      <c r="U42" s="35"/>
      <c r="V42" s="35"/>
      <c r="W42" s="35"/>
      <c r="X42" s="39"/>
      <c r="Y42" s="39"/>
      <c r="Z42" s="35"/>
      <c r="AA42" s="35"/>
      <c r="AB42" s="35"/>
      <c r="AC42" s="35"/>
    </row>
    <row r="43" spans="1:43" s="9" customFormat="1" ht="21.75" customHeight="1" outlineLevel="1">
      <c r="A43" s="446"/>
      <c r="B43" s="637"/>
      <c r="C43" s="638"/>
      <c r="D43" s="638"/>
      <c r="E43" s="639"/>
      <c r="F43" s="150"/>
      <c r="G43" s="640"/>
      <c r="H43" s="641"/>
      <c r="I43" s="642"/>
      <c r="J43" s="86"/>
      <c r="K43" s="449" t="str">
        <f>IF(B43="","",IF(OR(J43="",G43=""),"×",""))</f>
        <v/>
      </c>
      <c r="L43" s="35"/>
      <c r="M43" s="35"/>
      <c r="N43" s="35"/>
      <c r="O43" s="35"/>
      <c r="P43" s="35"/>
      <c r="Q43" s="35"/>
      <c r="R43" s="35"/>
      <c r="S43" s="35"/>
      <c r="T43" s="35"/>
      <c r="U43" s="35"/>
      <c r="V43" s="35"/>
      <c r="W43" s="35"/>
      <c r="X43" s="39"/>
      <c r="Y43" s="39"/>
      <c r="Z43" s="35"/>
      <c r="AA43" s="35"/>
      <c r="AB43" s="35"/>
      <c r="AC43" s="35"/>
    </row>
    <row r="44" spans="1:43" s="9" customFormat="1" ht="21.75" customHeight="1" outlineLevel="1">
      <c r="A44" s="447"/>
      <c r="B44" s="637"/>
      <c r="C44" s="638"/>
      <c r="D44" s="638"/>
      <c r="E44" s="639"/>
      <c r="F44" s="150"/>
      <c r="G44" s="640"/>
      <c r="H44" s="641"/>
      <c r="I44" s="642"/>
      <c r="J44" s="86"/>
      <c r="K44" s="449" t="str">
        <f>IF(B44="","",IF(OR(J44="",G44=""),"×",""))</f>
        <v/>
      </c>
      <c r="L44" s="35"/>
      <c r="M44" s="35"/>
      <c r="N44" s="35"/>
      <c r="O44" s="35"/>
      <c r="P44" s="35"/>
      <c r="Q44" s="35"/>
      <c r="R44" s="35"/>
      <c r="S44" s="35"/>
      <c r="T44" s="35"/>
      <c r="U44" s="35"/>
      <c r="V44" s="35"/>
      <c r="W44" s="35"/>
      <c r="X44" s="39"/>
      <c r="Y44" s="39"/>
      <c r="Z44" s="35"/>
      <c r="AA44" s="35"/>
      <c r="AB44" s="35"/>
      <c r="AC44" s="35"/>
    </row>
    <row r="45" spans="1:43" s="9" customFormat="1" ht="21.75" customHeight="1" outlineLevel="1">
      <c r="A45" s="446"/>
      <c r="B45" s="637"/>
      <c r="C45" s="638"/>
      <c r="D45" s="638"/>
      <c r="E45" s="639"/>
      <c r="F45" s="150"/>
      <c r="G45" s="640"/>
      <c r="H45" s="641"/>
      <c r="I45" s="642"/>
      <c r="J45" s="86"/>
      <c r="K45" s="449" t="str">
        <f>IF(B45="","",IF(OR(J45="",G45=""),"×",""))</f>
        <v/>
      </c>
      <c r="L45" s="35"/>
      <c r="M45" s="35"/>
      <c r="N45" s="35"/>
      <c r="O45" s="35"/>
      <c r="P45" s="35"/>
      <c r="Q45" s="35"/>
      <c r="R45" s="35"/>
      <c r="S45" s="35"/>
      <c r="T45" s="35"/>
      <c r="U45" s="35"/>
      <c r="V45" s="35"/>
      <c r="W45" s="35"/>
      <c r="X45" s="39"/>
      <c r="Y45" s="39"/>
      <c r="Z45" s="35"/>
      <c r="AA45" s="35"/>
      <c r="AB45" s="35"/>
      <c r="AC45" s="35"/>
    </row>
    <row r="46" spans="1:43" s="9" customFormat="1" ht="12" outlineLevel="1" thickBot="1">
      <c r="A46" s="186" t="s">
        <v>453</v>
      </c>
      <c r="B46" s="191"/>
      <c r="C46" s="192"/>
      <c r="D46" s="192"/>
      <c r="E46" s="193"/>
      <c r="F46" s="194"/>
      <c r="G46" s="195"/>
      <c r="H46" s="196"/>
      <c r="I46" s="197"/>
      <c r="J46" s="174"/>
      <c r="K46" s="450" t="str">
        <f>IF(B46="","",IF(OR(J46="",G46=""),"×",""))</f>
        <v/>
      </c>
      <c r="L46" s="11"/>
      <c r="M46" s="35"/>
      <c r="N46" s="35"/>
      <c r="O46" s="35"/>
      <c r="P46" s="35"/>
      <c r="Q46" s="35"/>
      <c r="R46" s="35"/>
      <c r="S46" s="35"/>
      <c r="T46" s="35"/>
      <c r="U46" s="35"/>
      <c r="V46" s="35"/>
      <c r="W46" s="35"/>
      <c r="X46" s="39"/>
      <c r="Y46" s="39"/>
      <c r="Z46" s="35"/>
      <c r="AA46" s="35"/>
      <c r="AB46" s="35"/>
      <c r="AC46" s="35"/>
    </row>
    <row r="47" spans="1:43" s="9" customFormat="1" ht="12" thickBot="1">
      <c r="A47" s="46"/>
      <c r="C47" s="48"/>
      <c r="D47" s="48"/>
      <c r="I47" s="48"/>
      <c r="J47" s="48"/>
      <c r="K47" s="48"/>
      <c r="L47" s="48"/>
      <c r="M47" s="48"/>
      <c r="N47" s="48"/>
      <c r="O47" s="48"/>
      <c r="P47" s="48"/>
      <c r="Q47" s="48"/>
    </row>
    <row r="48" spans="1:43">
      <c r="A48" s="451" t="s">
        <v>288</v>
      </c>
      <c r="B48" s="452"/>
      <c r="C48" s="452"/>
      <c r="D48" s="452"/>
      <c r="E48" s="452"/>
      <c r="F48" s="452"/>
      <c r="G48" s="453" t="s">
        <v>232</v>
      </c>
      <c r="H48" s="454"/>
      <c r="I48" s="454"/>
      <c r="J48" s="454"/>
      <c r="K48" s="455"/>
      <c r="L48" s="455"/>
      <c r="M48" s="455"/>
      <c r="N48" s="455"/>
      <c r="O48" s="455"/>
      <c r="P48" s="455"/>
      <c r="Q48" s="455"/>
      <c r="R48" s="455"/>
      <c r="S48" s="456" t="s">
        <v>12</v>
      </c>
      <c r="T48" s="457"/>
      <c r="U48" s="457"/>
      <c r="V48" s="457"/>
      <c r="W48" s="457"/>
      <c r="X48" s="458"/>
      <c r="Y48" s="459" t="s">
        <v>33</v>
      </c>
      <c r="Z48" s="460"/>
      <c r="AA48" s="460"/>
      <c r="AB48" s="460"/>
      <c r="AC48" s="460"/>
      <c r="AD48" s="460"/>
      <c r="AE48" s="460"/>
      <c r="AF48" s="461" t="s">
        <v>20</v>
      </c>
      <c r="AG48" s="462" t="s">
        <v>84</v>
      </c>
    </row>
    <row r="49" spans="1:33" s="6" customFormat="1" ht="22.5">
      <c r="A49" s="97" t="s">
        <v>174</v>
      </c>
      <c r="B49" s="98" t="s">
        <v>39</v>
      </c>
      <c r="C49" s="99" t="s">
        <v>40</v>
      </c>
      <c r="D49" s="100" t="s">
        <v>34</v>
      </c>
      <c r="E49" s="101" t="s">
        <v>241</v>
      </c>
      <c r="F49" s="102" t="s">
        <v>292</v>
      </c>
      <c r="G49" s="113" t="s">
        <v>194</v>
      </c>
      <c r="H49" s="114" t="s">
        <v>233</v>
      </c>
      <c r="I49" s="115" t="s">
        <v>35</v>
      </c>
      <c r="J49" s="114" t="s">
        <v>383</v>
      </c>
      <c r="K49" s="652" t="s">
        <v>234</v>
      </c>
      <c r="L49" s="653"/>
      <c r="M49" s="653"/>
      <c r="N49" s="654"/>
      <c r="O49" s="653" t="s">
        <v>366</v>
      </c>
      <c r="P49" s="653"/>
      <c r="Q49" s="653"/>
      <c r="R49" s="659"/>
      <c r="S49" s="132" t="s">
        <v>21</v>
      </c>
      <c r="T49" s="133" t="s">
        <v>10</v>
      </c>
      <c r="U49" s="134" t="s">
        <v>139</v>
      </c>
      <c r="V49" s="135" t="s">
        <v>18</v>
      </c>
      <c r="W49" s="136" t="s">
        <v>129</v>
      </c>
      <c r="X49" s="137" t="s">
        <v>85</v>
      </c>
      <c r="Y49" s="119" t="s">
        <v>11</v>
      </c>
      <c r="Z49" s="120" t="s">
        <v>305</v>
      </c>
      <c r="AA49" s="120" t="s">
        <v>318</v>
      </c>
      <c r="AB49" s="120" t="s">
        <v>19</v>
      </c>
      <c r="AC49" s="121" t="s">
        <v>130</v>
      </c>
      <c r="AD49" s="120" t="s">
        <v>22</v>
      </c>
      <c r="AE49" s="122" t="s">
        <v>23</v>
      </c>
      <c r="AF49" s="463"/>
      <c r="AG49" s="464"/>
    </row>
    <row r="50" spans="1:33" s="9" customFormat="1">
      <c r="A50" s="103">
        <v>1</v>
      </c>
      <c r="B50" s="104"/>
      <c r="C50" s="104"/>
      <c r="D50" s="105"/>
      <c r="E50" s="106"/>
      <c r="F50" s="107"/>
      <c r="G50" s="105"/>
      <c r="H50" s="116"/>
      <c r="I50" s="522"/>
      <c r="J50" s="155"/>
      <c r="K50" s="655"/>
      <c r="L50" s="656"/>
      <c r="M50" s="656"/>
      <c r="N50" s="657"/>
      <c r="O50" s="656"/>
      <c r="P50" s="656"/>
      <c r="Q50" s="656"/>
      <c r="R50" s="660"/>
      <c r="S50" s="138"/>
      <c r="T50" s="104"/>
      <c r="U50" s="520"/>
      <c r="V50" s="139"/>
      <c r="W50" s="140"/>
      <c r="X50" s="468"/>
      <c r="Y50" s="123" t="str">
        <f t="shared" ref="Y50:Y55" si="0">IF(F50="","",F50)</f>
        <v/>
      </c>
      <c r="Z50" s="116"/>
      <c r="AA50" s="523"/>
      <c r="AB50" s="125"/>
      <c r="AC50" s="126"/>
      <c r="AD50" s="104"/>
      <c r="AE50" s="107"/>
      <c r="AF50" s="466" t="str">
        <f>IF(AND(K50&lt;&gt;"",OR(E50="",F50="",S50="")),"記入漏",IF(OR(AND(E50="不具合",OR(G50="",H50="",J50="")),AND(E50="指摘",J50="")),"記入漏",IF(AND(S50="要",OR(U50="",AE50="")),"記入漏","")))</f>
        <v/>
      </c>
      <c r="AG50" s="145"/>
    </row>
    <row r="51" spans="1:33" s="9" customFormat="1">
      <c r="A51" s="103">
        <f t="shared" ref="A51:A54" si="1">A50+1</f>
        <v>2</v>
      </c>
      <c r="B51" s="104"/>
      <c r="C51" s="104"/>
      <c r="D51" s="105"/>
      <c r="E51" s="106"/>
      <c r="F51" s="107"/>
      <c r="G51" s="105"/>
      <c r="H51" s="116"/>
      <c r="I51" s="522"/>
      <c r="J51" s="155"/>
      <c r="K51" s="655"/>
      <c r="L51" s="656"/>
      <c r="M51" s="656"/>
      <c r="N51" s="657"/>
      <c r="O51" s="656"/>
      <c r="P51" s="656"/>
      <c r="Q51" s="656"/>
      <c r="R51" s="660"/>
      <c r="S51" s="138"/>
      <c r="T51" s="104"/>
      <c r="U51" s="520"/>
      <c r="V51" s="139"/>
      <c r="W51" s="140"/>
      <c r="X51" s="468"/>
      <c r="Y51" s="123" t="str">
        <f t="shared" si="0"/>
        <v/>
      </c>
      <c r="Z51" s="116"/>
      <c r="AA51" s="523"/>
      <c r="AB51" s="125"/>
      <c r="AC51" s="126"/>
      <c r="AD51" s="104"/>
      <c r="AE51" s="107"/>
      <c r="AF51" s="466" t="str">
        <f t="shared" ref="AF51:AF53" si="2">IF(AND(K51&lt;&gt;"",OR(E51="",F51="",S51="")),"記入漏",IF(OR(AND(E51="不具合",OR(G51="",H51="",J51="")),AND(E51="指摘",J51="")),"記入漏",IF(AND(S51="要",OR(U51="",AE51="")),"記入漏","")))</f>
        <v/>
      </c>
      <c r="AG51" s="145"/>
    </row>
    <row r="52" spans="1:33" s="9" customFormat="1">
      <c r="A52" s="103">
        <f t="shared" si="1"/>
        <v>3</v>
      </c>
      <c r="B52" s="104"/>
      <c r="C52" s="104"/>
      <c r="D52" s="105"/>
      <c r="E52" s="106"/>
      <c r="F52" s="107"/>
      <c r="G52" s="105"/>
      <c r="H52" s="116"/>
      <c r="I52" s="522"/>
      <c r="J52" s="155"/>
      <c r="K52" s="655"/>
      <c r="L52" s="656"/>
      <c r="M52" s="656"/>
      <c r="N52" s="657"/>
      <c r="O52" s="656"/>
      <c r="P52" s="656"/>
      <c r="Q52" s="656"/>
      <c r="R52" s="660"/>
      <c r="S52" s="138"/>
      <c r="T52" s="104"/>
      <c r="U52" s="520"/>
      <c r="V52" s="139"/>
      <c r="W52" s="140"/>
      <c r="X52" s="468"/>
      <c r="Y52" s="123" t="str">
        <f t="shared" si="0"/>
        <v/>
      </c>
      <c r="Z52" s="116"/>
      <c r="AA52" s="523"/>
      <c r="AB52" s="125"/>
      <c r="AC52" s="126"/>
      <c r="AD52" s="104"/>
      <c r="AE52" s="107"/>
      <c r="AF52" s="466" t="str">
        <f t="shared" si="2"/>
        <v/>
      </c>
      <c r="AG52" s="145"/>
    </row>
    <row r="53" spans="1:33" s="9" customFormat="1">
      <c r="A53" s="103">
        <f t="shared" si="1"/>
        <v>4</v>
      </c>
      <c r="B53" s="104"/>
      <c r="C53" s="104"/>
      <c r="D53" s="105"/>
      <c r="E53" s="106"/>
      <c r="F53" s="107"/>
      <c r="G53" s="105"/>
      <c r="H53" s="116"/>
      <c r="I53" s="522"/>
      <c r="J53" s="155"/>
      <c r="K53" s="655"/>
      <c r="L53" s="656"/>
      <c r="M53" s="656"/>
      <c r="N53" s="657"/>
      <c r="O53" s="656"/>
      <c r="P53" s="656"/>
      <c r="Q53" s="656"/>
      <c r="R53" s="660"/>
      <c r="S53" s="138"/>
      <c r="T53" s="104"/>
      <c r="U53" s="520"/>
      <c r="V53" s="139"/>
      <c r="W53" s="140"/>
      <c r="X53" s="468"/>
      <c r="Y53" s="123" t="str">
        <f t="shared" si="0"/>
        <v/>
      </c>
      <c r="Z53" s="116"/>
      <c r="AA53" s="523"/>
      <c r="AB53" s="125"/>
      <c r="AC53" s="126"/>
      <c r="AD53" s="104"/>
      <c r="AE53" s="107"/>
      <c r="AF53" s="466" t="str">
        <f t="shared" si="2"/>
        <v/>
      </c>
      <c r="AG53" s="145"/>
    </row>
    <row r="54" spans="1:33" s="9" customFormat="1">
      <c r="A54" s="103">
        <f t="shared" si="1"/>
        <v>5</v>
      </c>
      <c r="B54" s="104"/>
      <c r="C54" s="104"/>
      <c r="D54" s="105"/>
      <c r="E54" s="106"/>
      <c r="F54" s="107"/>
      <c r="G54" s="105"/>
      <c r="H54" s="116"/>
      <c r="I54" s="522"/>
      <c r="J54" s="155"/>
      <c r="K54" s="655"/>
      <c r="L54" s="656"/>
      <c r="M54" s="656"/>
      <c r="N54" s="657"/>
      <c r="O54" s="656"/>
      <c r="P54" s="656"/>
      <c r="Q54" s="656"/>
      <c r="R54" s="660"/>
      <c r="S54" s="138"/>
      <c r="T54" s="104"/>
      <c r="U54" s="520"/>
      <c r="V54" s="139"/>
      <c r="W54" s="140"/>
      <c r="X54" s="468"/>
      <c r="Y54" s="123" t="str">
        <f t="shared" si="0"/>
        <v/>
      </c>
      <c r="Z54" s="116"/>
      <c r="AA54" s="523"/>
      <c r="AB54" s="125"/>
      <c r="AC54" s="126"/>
      <c r="AD54" s="104"/>
      <c r="AE54" s="107"/>
      <c r="AF54" s="466" t="str">
        <f>IF(AND(K54&lt;&gt;"",OR(E54="",F54="",S54="")),"記入漏",IF(OR(AND(E54="不具合",OR(G54="",H54="",J54="")),AND(E54="指摘",J54="")),"記入漏",IF(AND(S54="要",OR(U54="",AE54="")),"記入漏","")))</f>
        <v/>
      </c>
      <c r="AG54" s="145"/>
    </row>
    <row r="55" spans="1:33" s="9" customFormat="1" ht="14.25" customHeight="1" thickBot="1">
      <c r="A55" s="108"/>
      <c r="B55" s="109"/>
      <c r="C55" s="109"/>
      <c r="D55" s="110"/>
      <c r="E55" s="111"/>
      <c r="F55" s="112"/>
      <c r="G55" s="117"/>
      <c r="H55" s="118"/>
      <c r="I55" s="154"/>
      <c r="J55" s="465"/>
      <c r="K55" s="649"/>
      <c r="L55" s="650"/>
      <c r="M55" s="650"/>
      <c r="N55" s="651"/>
      <c r="O55" s="650"/>
      <c r="P55" s="650"/>
      <c r="Q55" s="650"/>
      <c r="R55" s="658"/>
      <c r="S55" s="108"/>
      <c r="T55" s="109"/>
      <c r="U55" s="519"/>
      <c r="V55" s="142"/>
      <c r="W55" s="143"/>
      <c r="X55" s="469"/>
      <c r="Y55" s="127" t="str">
        <f t="shared" si="0"/>
        <v/>
      </c>
      <c r="Z55" s="128"/>
      <c r="AA55" s="521"/>
      <c r="AB55" s="130"/>
      <c r="AC55" s="131"/>
      <c r="AD55" s="109"/>
      <c r="AE55" s="112"/>
      <c r="AF55" s="467" t="str">
        <f>IF(AND(K55&lt;&gt;"",OR(E55="",F55="",S55="")),"記入漏",IF(OR(AND(E55="不具合",OR(G55="",H55="",J55="")),AND(E55="指摘",J55="")),"記入漏",IF(AND(S55="要",OR(U55="",AE55="")),"記入漏","")))</f>
        <v/>
      </c>
      <c r="AG55" s="146"/>
    </row>
  </sheetData>
  <sheetProtection formatCells="0" formatColumns="0" formatRows="0" insertColumns="0" insertRows="0" insertHyperlinks="0" deleteColumns="0" deleteRows="0" autoFilter="0"/>
  <mergeCells count="68">
    <mergeCell ref="K55:N55"/>
    <mergeCell ref="O55:R55"/>
    <mergeCell ref="K51:N51"/>
    <mergeCell ref="O51:R51"/>
    <mergeCell ref="K52:N52"/>
    <mergeCell ref="O52:R52"/>
    <mergeCell ref="K53:N53"/>
    <mergeCell ref="O53:R53"/>
    <mergeCell ref="O49:R49"/>
    <mergeCell ref="K50:N50"/>
    <mergeCell ref="O50:R50"/>
    <mergeCell ref="K54:N54"/>
    <mergeCell ref="O54:R54"/>
    <mergeCell ref="B44:E44"/>
    <mergeCell ref="G44:I44"/>
    <mergeCell ref="B45:E45"/>
    <mergeCell ref="G45:I45"/>
    <mergeCell ref="K49:N49"/>
    <mergeCell ref="B41:E41"/>
    <mergeCell ref="G41:I41"/>
    <mergeCell ref="B42:E42"/>
    <mergeCell ref="G42:I42"/>
    <mergeCell ref="B43:E43"/>
    <mergeCell ref="G43:I43"/>
    <mergeCell ref="D33:F33"/>
    <mergeCell ref="L33:N33"/>
    <mergeCell ref="A37:F37"/>
    <mergeCell ref="G37:K37"/>
    <mergeCell ref="A38:F38"/>
    <mergeCell ref="G38:K38"/>
    <mergeCell ref="D30:F30"/>
    <mergeCell ref="L30:N30"/>
    <mergeCell ref="D31:F31"/>
    <mergeCell ref="L31:N31"/>
    <mergeCell ref="D32:F32"/>
    <mergeCell ref="L32:N32"/>
    <mergeCell ref="A27:A29"/>
    <mergeCell ref="B27:I27"/>
    <mergeCell ref="J27:Q27"/>
    <mergeCell ref="R27:R29"/>
    <mergeCell ref="S27:S29"/>
    <mergeCell ref="J28:J29"/>
    <mergeCell ref="K28:K29"/>
    <mergeCell ref="L28:N29"/>
    <mergeCell ref="O28:Q28"/>
    <mergeCell ref="T27:T29"/>
    <mergeCell ref="B28:B29"/>
    <mergeCell ref="C28:C29"/>
    <mergeCell ref="D28:F29"/>
    <mergeCell ref="G28:I28"/>
    <mergeCell ref="B22:C22"/>
    <mergeCell ref="H22:L22"/>
    <mergeCell ref="B23:C23"/>
    <mergeCell ref="H23:L23"/>
    <mergeCell ref="B24:C24"/>
    <mergeCell ref="H24:L24"/>
    <mergeCell ref="B14:H14"/>
    <mergeCell ref="B15:H15"/>
    <mergeCell ref="B20:C20"/>
    <mergeCell ref="H20:L20"/>
    <mergeCell ref="B21:C21"/>
    <mergeCell ref="H21:L21"/>
    <mergeCell ref="B13:H13"/>
    <mergeCell ref="B4:B7"/>
    <mergeCell ref="C4:C7"/>
    <mergeCell ref="B10:H10"/>
    <mergeCell ref="B11:H11"/>
    <mergeCell ref="B12:H12"/>
  </mergeCells>
  <phoneticPr fontId="4"/>
  <conditionalFormatting sqref="AE55 AB55:AC55 AB50:AD54 T50:T55 V50:W55 Y55">
    <cfRule type="expression" dxfId="51" priority="19" stopIfTrue="1">
      <formula>$S50="いいえ"</formula>
    </cfRule>
  </conditionalFormatting>
  <conditionalFormatting sqref="J42:J46">
    <cfRule type="expression" dxfId="50" priority="20" stopIfTrue="1">
      <formula>AND(B42&lt;&gt;"",J42="")</formula>
    </cfRule>
  </conditionalFormatting>
  <conditionalFormatting sqref="E55">
    <cfRule type="expression" dxfId="49" priority="21" stopIfTrue="1">
      <formula>AND(#REF!&lt;&gt;"",$E55="")</formula>
    </cfRule>
  </conditionalFormatting>
  <conditionalFormatting sqref="S55">
    <cfRule type="expression" dxfId="48" priority="22" stopIfTrue="1">
      <formula>AND(#REF!&lt;&gt;"",$S55="")</formula>
    </cfRule>
  </conditionalFormatting>
  <conditionalFormatting sqref="C4:C7">
    <cfRule type="expression" dxfId="47" priority="23" stopIfTrue="1">
      <formula>AND($F$2&lt;&gt;"承認待ち",$F$2&lt;&gt;"承認済")</formula>
    </cfRule>
    <cfRule type="expression" priority="24" stopIfTrue="1">
      <formula>IF(F2&lt;&gt;"承認済",C4="",)</formula>
    </cfRule>
  </conditionalFormatting>
  <conditionalFormatting sqref="AD55">
    <cfRule type="expression" dxfId="46" priority="25" stopIfTrue="1">
      <formula>$S55="否"</formula>
    </cfRule>
    <cfRule type="expression" dxfId="45" priority="26" stopIfTrue="1">
      <formula>$AD55="対策中"</formula>
    </cfRule>
  </conditionalFormatting>
  <conditionalFormatting sqref="U50:U55">
    <cfRule type="expression" dxfId="44" priority="27" stopIfTrue="1">
      <formula>AND($S50&lt;&gt;"",$U50="")</formula>
    </cfRule>
  </conditionalFormatting>
  <conditionalFormatting sqref="AE50:AE54">
    <cfRule type="expression" dxfId="43" priority="28" stopIfTrue="1">
      <formula>$S50="いいえ"</formula>
    </cfRule>
    <cfRule type="expression" dxfId="42" priority="29" stopIfTrue="1">
      <formula>AND($Z50&lt;&gt;"",$AA50&lt;&gt;"",$AB50&lt;&gt;"",$AD50="完了",$AE50="")</formula>
    </cfRule>
  </conditionalFormatting>
  <conditionalFormatting sqref="Z50:AA54">
    <cfRule type="expression" dxfId="41" priority="31" stopIfTrue="1">
      <formula>$S50="いいえ"</formula>
    </cfRule>
  </conditionalFormatting>
  <conditionalFormatting sqref="L6">
    <cfRule type="cellIs" dxfId="40" priority="32" stopIfTrue="1" operator="equal">
      <formula>""</formula>
    </cfRule>
  </conditionalFormatting>
  <conditionalFormatting sqref="L3:L4">
    <cfRule type="cellIs" dxfId="39" priority="33" stopIfTrue="1" operator="equal">
      <formula>"未"</formula>
    </cfRule>
  </conditionalFormatting>
  <conditionalFormatting sqref="J7">
    <cfRule type="cellIs" dxfId="38" priority="34" stopIfTrue="1" operator="equal">
      <formula>"有"</formula>
    </cfRule>
  </conditionalFormatting>
  <conditionalFormatting sqref="S50:S54">
    <cfRule type="expression" dxfId="37" priority="35" stopIfTrue="1">
      <formula>AND($K50&lt;&gt;"",$S50="")</formula>
    </cfRule>
  </conditionalFormatting>
  <conditionalFormatting sqref="K17">
    <cfRule type="expression" dxfId="36" priority="36" stopIfTrue="1">
      <formula>AND(B17&lt;&gt;"",K17="")</formula>
    </cfRule>
  </conditionalFormatting>
  <conditionalFormatting sqref="G42:I46">
    <cfRule type="expression" dxfId="35" priority="37" stopIfTrue="1">
      <formula>AND(#REF!&lt;&gt;"",G42="")</formula>
    </cfRule>
  </conditionalFormatting>
  <conditionalFormatting sqref="C30:C34">
    <cfRule type="expression" dxfId="34" priority="38" stopIfTrue="1">
      <formula>AND($B30&lt;&gt;"",$C30="")</formula>
    </cfRule>
  </conditionalFormatting>
  <conditionalFormatting sqref="D30:D34">
    <cfRule type="expression" dxfId="33" priority="18">
      <formula>AND($B30&lt;&gt;"",$D30="")</formula>
    </cfRule>
  </conditionalFormatting>
  <conditionalFormatting sqref="G50:G55">
    <cfRule type="expression" dxfId="32" priority="41" stopIfTrue="1">
      <formula>$E50&lt;&gt;"不具合"</formula>
    </cfRule>
    <cfRule type="expression" dxfId="31" priority="42" stopIfTrue="1">
      <formula>AND($K50&lt;&gt;"",$E50="不具合",$G50="")</formula>
    </cfRule>
  </conditionalFormatting>
  <conditionalFormatting sqref="H50:H55">
    <cfRule type="expression" dxfId="30" priority="43" stopIfTrue="1">
      <formula>$E50&lt;&gt;"不具合"</formula>
    </cfRule>
    <cfRule type="expression" dxfId="29" priority="44" stopIfTrue="1">
      <formula>AND($K50&lt;&gt;"",$E50="不具合",$H50="")</formula>
    </cfRule>
  </conditionalFormatting>
  <conditionalFormatting sqref="E50:E54">
    <cfRule type="expression" dxfId="28" priority="45" stopIfTrue="1">
      <formula>AND($K50&lt;&gt;"",$E50="")</formula>
    </cfRule>
  </conditionalFormatting>
  <conditionalFormatting sqref="F50:F54">
    <cfRule type="expression" dxfId="27" priority="46" stopIfTrue="1">
      <formula>AND($K50&lt;&gt;"",$F50="")</formula>
    </cfRule>
  </conditionalFormatting>
  <conditionalFormatting sqref="J50:J55">
    <cfRule type="expression" dxfId="26" priority="39" stopIfTrue="1">
      <formula>AND($E50&lt;&gt;"指摘",$E50&lt;&gt;"不具合")</formula>
    </cfRule>
    <cfRule type="expression" dxfId="25" priority="40" stopIfTrue="1">
      <formula>AND($K50&lt;&gt;"",OR($E50="指摘",$E50="不具合"),$J50="")</formula>
    </cfRule>
  </conditionalFormatting>
  <conditionalFormatting sqref="I50:I55">
    <cfRule type="expression" dxfId="24" priority="16">
      <formula>$E50&lt;&gt;"指摘"</formula>
    </cfRule>
    <cfRule type="expression" dxfId="23" priority="17">
      <formula>AND($K50&lt;&gt;"",$E50="指摘",$I50="")</formula>
    </cfRule>
  </conditionalFormatting>
  <conditionalFormatting sqref="N7">
    <cfRule type="cellIs" dxfId="22" priority="15" stopIfTrue="1" operator="equal">
      <formula>"有"</formula>
    </cfRule>
  </conditionalFormatting>
  <conditionalFormatting sqref="P7">
    <cfRule type="cellIs" dxfId="21" priority="14" stopIfTrue="1" operator="equal">
      <formula>"有"</formula>
    </cfRule>
  </conditionalFormatting>
  <conditionalFormatting sqref="N3:N5">
    <cfRule type="cellIs" dxfId="20" priority="13" operator="greaterThan">
      <formula>0</formula>
    </cfRule>
  </conditionalFormatting>
  <conditionalFormatting sqref="P3:P6">
    <cfRule type="cellIs" dxfId="19" priority="12" operator="greaterThan">
      <formula>0</formula>
    </cfRule>
  </conditionalFormatting>
  <conditionalFormatting sqref="T50:T55">
    <cfRule type="expression" dxfId="18" priority="11">
      <formula>AND($S50="はい",$T50="")</formula>
    </cfRule>
  </conditionalFormatting>
  <conditionalFormatting sqref="V50:V55">
    <cfRule type="expression" dxfId="17" priority="10">
      <formula>AND($S50="はい",$V50="")</formula>
    </cfRule>
  </conditionalFormatting>
  <conditionalFormatting sqref="X50:X55">
    <cfRule type="expression" dxfId="16" priority="9">
      <formula>AND(OR(AND($S50="はい",$T50&lt;&gt;"",$U50&lt;&gt;"",$V50&lt;&gt;""),AND($S50="いいえ",$U50&lt;&gt;"")),$X50="")</formula>
    </cfRule>
  </conditionalFormatting>
  <conditionalFormatting sqref="Z50:Z55">
    <cfRule type="expression" dxfId="15" priority="30" stopIfTrue="1">
      <formula>AND($V50&lt;&gt;"",$V50&lt;TODAY(),$Z50="")</formula>
    </cfRule>
  </conditionalFormatting>
  <conditionalFormatting sqref="AA50:AA55">
    <cfRule type="expression" dxfId="14" priority="8">
      <formula>AND($V50&lt;&gt;"",$V50&lt;TODAY(),$AA50="")</formula>
    </cfRule>
  </conditionalFormatting>
  <conditionalFormatting sqref="AB50:AB55">
    <cfRule type="expression" dxfId="13" priority="7">
      <formula>AND($V50&lt;&gt;"",$V50&lt;TODAY(),$AB50="")</formula>
    </cfRule>
  </conditionalFormatting>
  <conditionalFormatting sqref="AD50:AD55">
    <cfRule type="expression" dxfId="12" priority="6">
      <formula>AND($V50&lt;&gt;"",$V50&lt;TODAY(),$AD50&lt;&gt;"完了")</formula>
    </cfRule>
  </conditionalFormatting>
  <conditionalFormatting sqref="J30:J34">
    <cfRule type="expression" dxfId="11" priority="47" stopIfTrue="1">
      <formula>AND($B30&lt;&gt;DATE(1900,1,0),$B30&lt;TODAY(),$J30="")</formula>
    </cfRule>
  </conditionalFormatting>
  <conditionalFormatting sqref="G30:G34">
    <cfRule type="expression" dxfId="10" priority="48">
      <formula>AND($B30&lt;&gt;"",$G30="")</formula>
    </cfRule>
  </conditionalFormatting>
  <conditionalFormatting sqref="L30:L34">
    <cfRule type="expression" dxfId="9" priority="49" stopIfTrue="1">
      <formula>AND($B30&lt;&gt;DATE(1900,1,0),$B30&lt;TODAY(),$L30="")</formula>
    </cfRule>
  </conditionalFormatting>
  <conditionalFormatting sqref="K30:K34">
    <cfRule type="expression" dxfId="8" priority="50">
      <formula>AND($B30&lt;&gt;DATE(1900,1,0),$B30&lt;TODAY(),$K30="")</formula>
    </cfRule>
  </conditionalFormatting>
  <conditionalFormatting sqref="R30:R34">
    <cfRule type="expression" dxfId="7" priority="51" stopIfTrue="1">
      <formula>AND(J30&lt;&gt;"",K30&lt;&gt;"",L30&lt;&gt;"",O30&lt;&gt;"",P30&lt;&gt;"",Q30&lt;&gt;"",R30="")</formula>
    </cfRule>
  </conditionalFormatting>
  <conditionalFormatting sqref="B31:B34">
    <cfRule type="expression" dxfId="6" priority="52">
      <formula>AND($R30="継続",$B31="")</formula>
    </cfRule>
  </conditionalFormatting>
  <conditionalFormatting sqref="O30:O34">
    <cfRule type="expression" dxfId="5" priority="53" stopIfTrue="1">
      <formula>AND($B30&lt;&gt;DATE(1900,1,0),$B30&lt;TODAY(),$O30="")</formula>
    </cfRule>
  </conditionalFormatting>
  <conditionalFormatting sqref="Y50:Y54">
    <cfRule type="expression" dxfId="4" priority="5" stopIfTrue="1">
      <formula>$S50="いいえ"</formula>
    </cfRule>
  </conditionalFormatting>
  <conditionalFormatting sqref="H30:H34">
    <cfRule type="expression" dxfId="3" priority="4">
      <formula>AND($B30&lt;&gt;"",$H30="")</formula>
    </cfRule>
  </conditionalFormatting>
  <conditionalFormatting sqref="I30:I34">
    <cfRule type="expression" dxfId="2" priority="3">
      <formula>AND($B30&lt;&gt;"",$I30="")</formula>
    </cfRule>
  </conditionalFormatting>
  <conditionalFormatting sqref="P30:P34">
    <cfRule type="expression" dxfId="1" priority="2">
      <formula>AND($B30&lt;&gt;DATE(1900,1,0),$B30&lt;TODAY(),$P30="")</formula>
    </cfRule>
  </conditionalFormatting>
  <conditionalFormatting sqref="Q30:Q34">
    <cfRule type="expression" dxfId="0" priority="1">
      <formula>AND($B30&lt;&gt;DATE(1900,1,0),$B30&lt;TODAY(),$Q30="")</formula>
    </cfRule>
  </conditionalFormatting>
  <dataValidations count="18">
    <dataValidation type="list" allowBlank="1" showInputMessage="1" showErrorMessage="1" sqref="J50:J54">
      <formula1>"○,－"</formula1>
    </dataValidation>
    <dataValidation type="list" allowBlank="1" showInputMessage="1" sqref="F42:F46">
      <formula1>"○"</formula1>
    </dataValidation>
    <dataValidation type="list" allowBlank="1" showInputMessage="1" showErrorMessage="1" sqref="J42:J46">
      <formula1>"OK,NG"</formula1>
    </dataValidation>
    <dataValidation type="list" allowBlank="1" showInputMessage="1" showErrorMessage="1" sqref="C30:C34 K30:K34">
      <formula1>"ウォークスルー,パスアラウンド"</formula1>
    </dataValidation>
    <dataValidation allowBlank="1" showInputMessage="1" sqref="F3:F7 H7 Y50:Y55"/>
    <dataValidation type="list" allowBlank="1" showInputMessage="1" showErrorMessage="1" prompt="5: 良好_x000a_4: まあまあ良好_x000a_3: 普通_x000a_2: 少し良くない_x000a_1: 良くない" sqref="G21:G24">
      <formula1>"5,4,3,2,1"</formula1>
    </dataValidation>
    <dataValidation type="list" allowBlank="1" showInputMessage="1" showErrorMessage="1" sqref="R30:R34">
      <formula1>"継続,終了"</formula1>
    </dataValidation>
    <dataValidation type="list" allowBlank="1" showInputMessage="1" showErrorMessage="1" sqref="C50:C54">
      <formula1>$A$11:$A$16</formula1>
    </dataValidation>
    <dataValidation type="list" allowBlank="1" showInputMessage="1" showErrorMessage="1" sqref="F50:F54">
      <formula1>メンバー</formula1>
    </dataValidation>
    <dataValidation type="list" allowBlank="1" showInputMessage="1" showErrorMessage="1" sqref="E50:E54">
      <formula1>"不具合,指摘,確認,指示,,決定事項"</formula1>
    </dataValidation>
    <dataValidation type="list" allowBlank="1" showInputMessage="1" showErrorMessage="1" sqref="G50:G54">
      <formula1>"大,中,小"</formula1>
    </dataValidation>
    <dataValidation type="list" allowBlank="1" showInputMessage="1" showErrorMessage="1" sqref="S50:S54">
      <formula1>"はい,いいえ,保留"</formula1>
    </dataValidation>
    <dataValidation type="list" allowBlank="1" showInputMessage="1" sqref="AD50:AD54">
      <formula1>"完了,対策中,未着手"</formula1>
    </dataValidation>
    <dataValidation type="list" allowBlank="1" showInputMessage="1" showErrorMessage="1" sqref="AE50:AE54">
      <formula1>"ＯＫ"</formula1>
    </dataValidation>
    <dataValidation type="list" allowBlank="1" showInputMessage="1" showErrorMessage="1" sqref="H50:H54">
      <formula1>INDIRECT($B$4)</formula1>
    </dataValidation>
    <dataValidation type="list" allowBlank="1" showInputMessage="1" showErrorMessage="1" sqref="I50:I54">
      <formula1>INDIRECT("指摘種別")</formula1>
    </dataValidation>
    <dataValidation type="list" allowBlank="1" showInputMessage="1" sqref="X50:X54 T50:T54">
      <formula1>メンバー</formula1>
    </dataValidation>
    <dataValidation type="list" allowBlank="1" showInputMessage="1" showErrorMessage="1" sqref="F55">
      <formula1>"  "</formula1>
    </dataValidation>
  </dataValidations>
  <hyperlinks>
    <hyperlink ref="P1" location="レビュー管理!A1" display="管理票へ"/>
  </hyperlinks>
  <pageMargins left="0.75" right="0.75" top="1" bottom="1" header="0.51200000000000001" footer="0.51200000000000001"/>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AddNewLine_record">
                <anchor moveWithCells="1">
                  <from>
                    <xdr:col>0</xdr:col>
                    <xdr:colOff>190500</xdr:colOff>
                    <xdr:row>56</xdr:row>
                    <xdr:rowOff>0</xdr:rowOff>
                  </from>
                  <to>
                    <xdr:col>1</xdr:col>
                    <xdr:colOff>485775</xdr:colOff>
                    <xdr:row>58</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B4:W40"/>
  <sheetViews>
    <sheetView showGridLines="0" zoomScaleNormal="100" workbookViewId="0"/>
  </sheetViews>
  <sheetFormatPr defaultRowHeight="13.5"/>
  <cols>
    <col min="1" max="1" width="4.25" style="223" customWidth="1"/>
    <col min="2" max="2" width="14.625" style="223" bestFit="1" customWidth="1"/>
    <col min="3" max="3" width="11.875" style="223" customWidth="1"/>
    <col min="4" max="4" width="12.375" style="223" customWidth="1"/>
    <col min="5" max="5" width="13.875" style="223" customWidth="1"/>
    <col min="6" max="6" width="16.75" style="223" bestFit="1" customWidth="1"/>
    <col min="7" max="7" width="17.5" style="223" customWidth="1"/>
    <col min="8" max="8" width="15" style="223" customWidth="1"/>
    <col min="9" max="9" width="14.75" style="223" bestFit="1" customWidth="1"/>
    <col min="10" max="10" width="14.625" style="223" bestFit="1" customWidth="1"/>
    <col min="11" max="11" width="13.5" style="223" customWidth="1"/>
    <col min="12" max="12" width="14.625" style="223" bestFit="1" customWidth="1"/>
    <col min="13" max="13" width="14.625" style="223" customWidth="1"/>
    <col min="14" max="14" width="13.5" style="223" customWidth="1"/>
    <col min="15" max="15" width="14.625" style="223" bestFit="1" customWidth="1"/>
    <col min="16" max="16" width="13.5" style="223" customWidth="1"/>
    <col min="17" max="16384" width="9" style="223"/>
  </cols>
  <sheetData>
    <row r="4" spans="2:23">
      <c r="D4" s="224"/>
      <c r="E4" s="225" t="s">
        <v>293</v>
      </c>
    </row>
    <row r="5" spans="2:23">
      <c r="D5" s="226"/>
      <c r="E5" s="95" t="s">
        <v>294</v>
      </c>
    </row>
    <row r="6" spans="2:23" ht="14.25" thickBot="1">
      <c r="D6" s="227">
        <f>COUNTA(D9:D26)</f>
        <v>10</v>
      </c>
      <c r="E6" s="227">
        <f t="shared" ref="E6:N6" si="0">COUNTA(E9:E26)</f>
        <v>18</v>
      </c>
      <c r="F6" s="227">
        <f>COUNTA(F9:F26)</f>
        <v>13</v>
      </c>
      <c r="G6" s="227">
        <f>COUNTA(G9:G26)</f>
        <v>7</v>
      </c>
      <c r="H6" s="227">
        <f>COUNTA(H9:H26)</f>
        <v>11</v>
      </c>
      <c r="I6" s="227">
        <f t="shared" si="0"/>
        <v>8</v>
      </c>
      <c r="J6" s="227">
        <f t="shared" si="0"/>
        <v>4</v>
      </c>
      <c r="K6" s="227">
        <f t="shared" si="0"/>
        <v>8</v>
      </c>
      <c r="L6" s="227">
        <f t="shared" si="0"/>
        <v>5</v>
      </c>
      <c r="M6" s="227">
        <f>COUNTA(M9:M26)</f>
        <v>9</v>
      </c>
      <c r="N6" s="227">
        <f t="shared" si="0"/>
        <v>4</v>
      </c>
      <c r="O6" s="227">
        <f t="shared" ref="O6:W6" si="1">COUNTA(O9:O26)</f>
        <v>0</v>
      </c>
      <c r="P6" s="228">
        <f t="shared" si="1"/>
        <v>0</v>
      </c>
      <c r="Q6" s="228">
        <f t="shared" si="1"/>
        <v>0</v>
      </c>
      <c r="R6" s="228">
        <f t="shared" si="1"/>
        <v>0</v>
      </c>
      <c r="S6" s="228">
        <f t="shared" si="1"/>
        <v>0</v>
      </c>
      <c r="T6" s="228">
        <f t="shared" si="1"/>
        <v>0</v>
      </c>
      <c r="U6" s="228">
        <f t="shared" si="1"/>
        <v>0</v>
      </c>
      <c r="V6" s="228">
        <f t="shared" si="1"/>
        <v>0</v>
      </c>
      <c r="W6" s="228">
        <f t="shared" si="1"/>
        <v>0</v>
      </c>
    </row>
    <row r="7" spans="2:23" s="230" customFormat="1" ht="14.25" thickBot="1">
      <c r="B7" s="229" t="s">
        <v>28</v>
      </c>
      <c r="D7" s="231" t="s">
        <v>235</v>
      </c>
      <c r="E7" s="232"/>
      <c r="F7" s="233"/>
      <c r="G7" s="233"/>
      <c r="H7" s="233"/>
      <c r="I7" s="234"/>
      <c r="J7" s="233"/>
      <c r="K7" s="234"/>
      <c r="L7" s="233"/>
      <c r="M7" s="233"/>
      <c r="N7" s="235"/>
    </row>
    <row r="8" spans="2:23" s="242" customFormat="1" ht="14.25" thickBot="1">
      <c r="B8" s="236" t="s">
        <v>358</v>
      </c>
      <c r="C8" s="237" t="s">
        <v>29</v>
      </c>
      <c r="D8" s="238" t="s">
        <v>198</v>
      </c>
      <c r="E8" s="239" t="s">
        <v>398</v>
      </c>
      <c r="F8" s="239" t="s">
        <v>148</v>
      </c>
      <c r="G8" s="239" t="s">
        <v>141</v>
      </c>
      <c r="H8" s="239" t="s">
        <v>57</v>
      </c>
      <c r="I8" s="239" t="s">
        <v>142</v>
      </c>
      <c r="J8" s="239" t="s">
        <v>145</v>
      </c>
      <c r="K8" s="239" t="s">
        <v>143</v>
      </c>
      <c r="L8" s="239" t="s">
        <v>146</v>
      </c>
      <c r="M8" s="240" t="s">
        <v>144</v>
      </c>
      <c r="N8" s="241" t="s">
        <v>147</v>
      </c>
    </row>
    <row r="9" spans="2:23" s="242" customFormat="1" ht="14.25" thickTop="1">
      <c r="B9" s="243" t="s">
        <v>359</v>
      </c>
      <c r="C9" s="244" t="s">
        <v>198</v>
      </c>
      <c r="D9" s="245" t="s">
        <v>262</v>
      </c>
      <c r="E9" s="246" t="s">
        <v>399</v>
      </c>
      <c r="F9" s="246" t="s">
        <v>153</v>
      </c>
      <c r="G9" s="246" t="s">
        <v>331</v>
      </c>
      <c r="H9" s="289" t="s">
        <v>527</v>
      </c>
      <c r="I9" s="289" t="s">
        <v>156</v>
      </c>
      <c r="J9" s="289" t="s">
        <v>338</v>
      </c>
      <c r="K9" s="289" t="s">
        <v>156</v>
      </c>
      <c r="L9" s="289" t="s">
        <v>338</v>
      </c>
      <c r="M9" s="290" t="s">
        <v>156</v>
      </c>
      <c r="N9" s="291" t="s">
        <v>338</v>
      </c>
    </row>
    <row r="10" spans="2:23" s="242" customFormat="1">
      <c r="B10" s="243" t="s">
        <v>360</v>
      </c>
      <c r="C10" s="247" t="s">
        <v>398</v>
      </c>
      <c r="D10" s="248" t="s">
        <v>263</v>
      </c>
      <c r="E10" s="249" t="s">
        <v>400</v>
      </c>
      <c r="F10" s="249" t="s">
        <v>327</v>
      </c>
      <c r="G10" s="249" t="s">
        <v>332</v>
      </c>
      <c r="H10" s="292" t="s">
        <v>528</v>
      </c>
      <c r="I10" s="293" t="s">
        <v>185</v>
      </c>
      <c r="J10" s="250" t="s">
        <v>339</v>
      </c>
      <c r="K10" s="293" t="s">
        <v>185</v>
      </c>
      <c r="L10" s="293" t="s">
        <v>342</v>
      </c>
      <c r="M10" s="294" t="s">
        <v>185</v>
      </c>
      <c r="N10" s="295" t="s">
        <v>346</v>
      </c>
    </row>
    <row r="11" spans="2:23" s="242" customFormat="1">
      <c r="B11" s="251"/>
      <c r="C11" s="247" t="s">
        <v>140</v>
      </c>
      <c r="D11" s="248" t="s">
        <v>320</v>
      </c>
      <c r="E11" s="249" t="s">
        <v>401</v>
      </c>
      <c r="F11" s="249" t="s">
        <v>328</v>
      </c>
      <c r="G11" s="250" t="s">
        <v>258</v>
      </c>
      <c r="H11" s="293" t="s">
        <v>529</v>
      </c>
      <c r="I11" s="293" t="s">
        <v>334</v>
      </c>
      <c r="J11" s="293" t="s">
        <v>340</v>
      </c>
      <c r="K11" s="293" t="s">
        <v>334</v>
      </c>
      <c r="L11" s="293" t="s">
        <v>343</v>
      </c>
      <c r="M11" s="296" t="s">
        <v>334</v>
      </c>
      <c r="N11" s="295" t="s">
        <v>347</v>
      </c>
    </row>
    <row r="12" spans="2:23" s="242" customFormat="1">
      <c r="B12" s="251"/>
      <c r="C12" s="247" t="s">
        <v>141</v>
      </c>
      <c r="D12" s="248" t="s">
        <v>264</v>
      </c>
      <c r="E12" s="249" t="s">
        <v>402</v>
      </c>
      <c r="F12" s="249" t="s">
        <v>252</v>
      </c>
      <c r="G12" s="249" t="s">
        <v>259</v>
      </c>
      <c r="H12" s="293" t="s">
        <v>530</v>
      </c>
      <c r="I12" s="293" t="s">
        <v>335</v>
      </c>
      <c r="J12" s="293" t="s">
        <v>155</v>
      </c>
      <c r="K12" s="293" t="s">
        <v>341</v>
      </c>
      <c r="L12" s="293" t="s">
        <v>344</v>
      </c>
      <c r="M12" s="296" t="s">
        <v>345</v>
      </c>
      <c r="N12" s="295" t="s">
        <v>155</v>
      </c>
    </row>
    <row r="13" spans="2:23" s="242" customFormat="1">
      <c r="B13" s="251"/>
      <c r="C13" s="247" t="s">
        <v>197</v>
      </c>
      <c r="D13" s="248" t="s">
        <v>321</v>
      </c>
      <c r="E13" s="249" t="s">
        <v>466</v>
      </c>
      <c r="F13" s="249" t="s">
        <v>329</v>
      </c>
      <c r="G13" s="249" t="s">
        <v>322</v>
      </c>
      <c r="H13" s="293" t="s">
        <v>531</v>
      </c>
      <c r="I13" s="292" t="s">
        <v>336</v>
      </c>
      <c r="J13" s="293"/>
      <c r="K13" s="292" t="s">
        <v>336</v>
      </c>
      <c r="L13" s="293" t="s">
        <v>155</v>
      </c>
      <c r="M13" s="294" t="s">
        <v>183</v>
      </c>
      <c r="N13" s="297"/>
    </row>
    <row r="14" spans="2:23" s="242" customFormat="1">
      <c r="B14" s="251"/>
      <c r="C14" s="247" t="s">
        <v>142</v>
      </c>
      <c r="D14" s="248" t="s">
        <v>265</v>
      </c>
      <c r="E14" s="249" t="s">
        <v>181</v>
      </c>
      <c r="F14" s="249" t="s">
        <v>253</v>
      </c>
      <c r="G14" s="250" t="s">
        <v>195</v>
      </c>
      <c r="H14" s="292" t="s">
        <v>532</v>
      </c>
      <c r="I14" s="292" t="s">
        <v>337</v>
      </c>
      <c r="J14" s="292"/>
      <c r="K14" s="292" t="s">
        <v>337</v>
      </c>
      <c r="L14" s="292"/>
      <c r="M14" s="294" t="s">
        <v>336</v>
      </c>
      <c r="N14" s="297"/>
    </row>
    <row r="15" spans="2:23" s="242" customFormat="1">
      <c r="B15" s="251"/>
      <c r="C15" s="247" t="s">
        <v>145</v>
      </c>
      <c r="D15" s="248" t="s">
        <v>266</v>
      </c>
      <c r="E15" s="249" t="s">
        <v>323</v>
      </c>
      <c r="F15" s="249" t="s">
        <v>254</v>
      </c>
      <c r="G15" s="250" t="s">
        <v>155</v>
      </c>
      <c r="H15" s="292" t="s">
        <v>533</v>
      </c>
      <c r="I15" s="292" t="s">
        <v>195</v>
      </c>
      <c r="J15" s="249"/>
      <c r="K15" s="292" t="s">
        <v>195</v>
      </c>
      <c r="L15" s="292"/>
      <c r="M15" s="294" t="s">
        <v>337</v>
      </c>
      <c r="N15" s="297"/>
    </row>
    <row r="16" spans="2:23" s="242" customFormat="1">
      <c r="B16" s="251"/>
      <c r="C16" s="247" t="s">
        <v>143</v>
      </c>
      <c r="D16" s="298" t="s">
        <v>267</v>
      </c>
      <c r="E16" s="249" t="s">
        <v>182</v>
      </c>
      <c r="F16" s="250" t="s">
        <v>330</v>
      </c>
      <c r="G16" s="249"/>
      <c r="H16" s="249" t="s">
        <v>534</v>
      </c>
      <c r="I16" s="249" t="s">
        <v>155</v>
      </c>
      <c r="J16" s="250"/>
      <c r="K16" s="250" t="s">
        <v>155</v>
      </c>
      <c r="L16" s="249"/>
      <c r="M16" s="252" t="s">
        <v>195</v>
      </c>
      <c r="N16" s="253"/>
    </row>
    <row r="17" spans="2:15" s="242" customFormat="1">
      <c r="B17" s="251"/>
      <c r="C17" s="247" t="s">
        <v>146</v>
      </c>
      <c r="D17" s="248" t="s">
        <v>322</v>
      </c>
      <c r="E17" s="249" t="s">
        <v>324</v>
      </c>
      <c r="F17" s="250" t="s">
        <v>255</v>
      </c>
      <c r="G17" s="249"/>
      <c r="H17" s="250" t="s">
        <v>535</v>
      </c>
      <c r="I17" s="250"/>
      <c r="J17" s="250"/>
      <c r="K17" s="249"/>
      <c r="L17" s="250"/>
      <c r="M17" s="254" t="s">
        <v>155</v>
      </c>
      <c r="N17" s="255"/>
    </row>
    <row r="18" spans="2:15" s="242" customFormat="1">
      <c r="B18" s="251"/>
      <c r="C18" s="247" t="s">
        <v>144</v>
      </c>
      <c r="D18" s="256" t="s">
        <v>155</v>
      </c>
      <c r="E18" s="249" t="s">
        <v>325</v>
      </c>
      <c r="F18" s="250" t="s">
        <v>256</v>
      </c>
      <c r="G18" s="249"/>
      <c r="H18" s="250" t="s">
        <v>536</v>
      </c>
      <c r="I18" s="250"/>
      <c r="J18" s="293"/>
      <c r="K18" s="250"/>
      <c r="L18" s="293"/>
      <c r="M18" s="296"/>
      <c r="N18" s="253"/>
    </row>
    <row r="19" spans="2:15" s="242" customFormat="1">
      <c r="B19" s="251"/>
      <c r="C19" s="257" t="s">
        <v>147</v>
      </c>
      <c r="D19" s="256"/>
      <c r="E19" s="249" t="s">
        <v>184</v>
      </c>
      <c r="F19" s="293" t="s">
        <v>322</v>
      </c>
      <c r="G19" s="250"/>
      <c r="H19" s="293" t="s">
        <v>155</v>
      </c>
      <c r="I19" s="249"/>
      <c r="J19" s="249"/>
      <c r="K19" s="249"/>
      <c r="L19" s="249"/>
      <c r="M19" s="252"/>
      <c r="N19" s="253"/>
    </row>
    <row r="20" spans="2:15" s="242" customFormat="1">
      <c r="B20" s="251"/>
      <c r="C20" s="257"/>
      <c r="D20" s="256"/>
      <c r="E20" s="250" t="s">
        <v>326</v>
      </c>
      <c r="F20" s="293" t="s">
        <v>195</v>
      </c>
      <c r="G20" s="249"/>
      <c r="H20" s="249"/>
      <c r="I20" s="250"/>
      <c r="J20" s="249"/>
      <c r="K20" s="249"/>
      <c r="L20" s="249"/>
      <c r="M20" s="252"/>
      <c r="N20" s="253"/>
    </row>
    <row r="21" spans="2:15" s="242" customFormat="1">
      <c r="B21" s="258"/>
      <c r="C21" s="259"/>
      <c r="D21" s="298"/>
      <c r="E21" s="250" t="s">
        <v>265</v>
      </c>
      <c r="F21" s="250" t="s">
        <v>155</v>
      </c>
      <c r="G21" s="250"/>
      <c r="H21" s="250"/>
      <c r="I21" s="250"/>
      <c r="J21" s="250"/>
      <c r="K21" s="250"/>
      <c r="L21" s="250"/>
      <c r="M21" s="254"/>
      <c r="N21" s="255"/>
    </row>
    <row r="22" spans="2:15" s="242" customFormat="1">
      <c r="B22" s="258"/>
      <c r="C22" s="259"/>
      <c r="D22" s="256"/>
      <c r="E22" s="293" t="s">
        <v>186</v>
      </c>
      <c r="F22" s="250"/>
      <c r="G22" s="250"/>
      <c r="H22" s="250"/>
      <c r="I22" s="250"/>
      <c r="J22" s="250"/>
      <c r="K22" s="250"/>
      <c r="L22" s="250"/>
      <c r="M22" s="254"/>
      <c r="N22" s="255"/>
    </row>
    <row r="23" spans="2:15" s="242" customFormat="1">
      <c r="B23" s="258"/>
      <c r="C23" s="259"/>
      <c r="D23" s="256"/>
      <c r="E23" s="292" t="s">
        <v>187</v>
      </c>
      <c r="F23" s="250"/>
      <c r="G23" s="250"/>
      <c r="H23" s="250"/>
      <c r="I23" s="250"/>
      <c r="J23" s="250"/>
      <c r="K23" s="250"/>
      <c r="L23" s="250"/>
      <c r="M23" s="254"/>
      <c r="N23" s="255"/>
    </row>
    <row r="24" spans="2:15" s="242" customFormat="1">
      <c r="B24" s="258"/>
      <c r="C24" s="259"/>
      <c r="D24" s="256"/>
      <c r="E24" s="292" t="s">
        <v>463</v>
      </c>
      <c r="F24" s="250"/>
      <c r="G24" s="250"/>
      <c r="H24" s="250"/>
      <c r="I24" s="250"/>
      <c r="J24" s="250"/>
      <c r="K24" s="250"/>
      <c r="L24" s="250"/>
      <c r="M24" s="254"/>
      <c r="N24" s="255"/>
    </row>
    <row r="25" spans="2:15" s="242" customFormat="1">
      <c r="B25" s="258"/>
      <c r="C25" s="259"/>
      <c r="D25" s="256"/>
      <c r="E25" s="250" t="s">
        <v>195</v>
      </c>
      <c r="F25" s="293"/>
      <c r="G25" s="250"/>
      <c r="H25" s="250"/>
      <c r="I25" s="250"/>
      <c r="J25" s="250"/>
      <c r="K25" s="250"/>
      <c r="L25" s="250"/>
      <c r="M25" s="254"/>
      <c r="N25" s="255"/>
    </row>
    <row r="26" spans="2:15" s="242" customFormat="1" ht="14.25" thickBot="1">
      <c r="B26" s="260"/>
      <c r="C26" s="261"/>
      <c r="D26" s="261"/>
      <c r="E26" s="262" t="s">
        <v>155</v>
      </c>
      <c r="F26" s="262"/>
      <c r="G26" s="262"/>
      <c r="H26" s="262"/>
      <c r="I26" s="262"/>
      <c r="J26" s="262"/>
      <c r="K26" s="262"/>
      <c r="L26" s="262"/>
      <c r="M26" s="263"/>
      <c r="N26" s="264"/>
    </row>
    <row r="27" spans="2:15" s="242" customFormat="1"/>
    <row r="28" spans="2:15" s="269" customFormat="1" ht="14.25" thickBot="1">
      <c r="B28" s="265" t="s">
        <v>30</v>
      </c>
      <c r="C28" s="266"/>
      <c r="D28" s="90"/>
      <c r="E28" s="90"/>
      <c r="F28" s="267"/>
      <c r="G28" s="266"/>
      <c r="H28" s="266"/>
      <c r="I28" s="266"/>
      <c r="J28" s="268"/>
      <c r="L28" s="268"/>
      <c r="M28" s="268"/>
      <c r="O28" s="268"/>
    </row>
    <row r="29" spans="2:15" s="269" customFormat="1" ht="14.25" thickBot="1">
      <c r="B29" s="270" t="s">
        <v>157</v>
      </c>
      <c r="C29" s="271" t="s">
        <v>119</v>
      </c>
      <c r="D29" s="271" t="s">
        <v>24</v>
      </c>
      <c r="E29" s="272" t="s">
        <v>53</v>
      </c>
      <c r="F29" s="272" t="s">
        <v>108</v>
      </c>
      <c r="G29" s="273" t="s">
        <v>131</v>
      </c>
    </row>
    <row r="30" spans="2:15" s="269" customFormat="1" ht="14.25" thickTop="1">
      <c r="B30" s="274" t="s">
        <v>120</v>
      </c>
      <c r="C30" s="275" t="s">
        <v>160</v>
      </c>
      <c r="D30" s="249" t="s">
        <v>188</v>
      </c>
      <c r="E30" s="276" t="s">
        <v>54</v>
      </c>
      <c r="F30" s="277" t="s">
        <v>115</v>
      </c>
      <c r="G30" s="278" t="s">
        <v>132</v>
      </c>
    </row>
    <row r="31" spans="2:15" s="269" customFormat="1" ht="33.75">
      <c r="B31" s="279" t="s">
        <v>121</v>
      </c>
      <c r="C31" s="280" t="s">
        <v>161</v>
      </c>
      <c r="D31" s="249" t="s">
        <v>189</v>
      </c>
      <c r="E31" s="277" t="s">
        <v>46</v>
      </c>
      <c r="F31" s="277" t="s">
        <v>162</v>
      </c>
      <c r="G31" s="278" t="s">
        <v>135</v>
      </c>
    </row>
    <row r="32" spans="2:15" s="269" customFormat="1">
      <c r="B32" s="279" t="s">
        <v>122</v>
      </c>
      <c r="C32" s="280" t="s">
        <v>163</v>
      </c>
      <c r="D32" s="249" t="s">
        <v>190</v>
      </c>
      <c r="E32" s="277" t="s">
        <v>93</v>
      </c>
      <c r="F32" s="277" t="s">
        <v>150</v>
      </c>
      <c r="G32" s="278" t="s">
        <v>137</v>
      </c>
    </row>
    <row r="33" spans="2:7" s="269" customFormat="1" ht="22.5">
      <c r="B33" s="279" t="s">
        <v>123</v>
      </c>
      <c r="C33" s="280" t="s">
        <v>164</v>
      </c>
      <c r="D33" s="249" t="s">
        <v>191</v>
      </c>
      <c r="E33" s="277"/>
      <c r="F33" s="277" t="s">
        <v>109</v>
      </c>
      <c r="G33" s="278" t="s">
        <v>134</v>
      </c>
    </row>
    <row r="34" spans="2:7" s="269" customFormat="1" ht="22.5">
      <c r="B34" s="279" t="s">
        <v>124</v>
      </c>
      <c r="C34" s="280" t="s">
        <v>165</v>
      </c>
      <c r="D34" s="249" t="s">
        <v>314</v>
      </c>
      <c r="E34" s="281"/>
      <c r="F34" s="277" t="s">
        <v>110</v>
      </c>
      <c r="G34" s="278" t="s">
        <v>138</v>
      </c>
    </row>
    <row r="35" spans="2:7" s="269" customFormat="1" ht="45">
      <c r="B35" s="279"/>
      <c r="C35" s="280" t="s">
        <v>166</v>
      </c>
      <c r="D35" s="249" t="s">
        <v>315</v>
      </c>
      <c r="E35" s="277"/>
      <c r="F35" s="277" t="s">
        <v>112</v>
      </c>
      <c r="G35" s="278" t="s">
        <v>167</v>
      </c>
    </row>
    <row r="36" spans="2:7" s="269" customFormat="1" ht="33.75">
      <c r="B36" s="279"/>
      <c r="C36" s="280"/>
      <c r="D36" s="249" t="s">
        <v>313</v>
      </c>
      <c r="E36" s="277"/>
      <c r="F36" s="277" t="s">
        <v>111</v>
      </c>
      <c r="G36" s="278" t="s">
        <v>168</v>
      </c>
    </row>
    <row r="37" spans="2:7" s="269" customFormat="1" ht="22.5">
      <c r="B37" s="282"/>
      <c r="C37" s="283"/>
      <c r="D37" s="250" t="s">
        <v>537</v>
      </c>
      <c r="E37" s="277"/>
      <c r="F37" s="277" t="s">
        <v>113</v>
      </c>
      <c r="G37" s="278" t="s">
        <v>169</v>
      </c>
    </row>
    <row r="38" spans="2:7" s="269" customFormat="1" ht="22.5">
      <c r="B38" s="282"/>
      <c r="C38" s="283"/>
      <c r="D38" s="250" t="s">
        <v>538</v>
      </c>
      <c r="E38" s="277"/>
      <c r="F38" s="277" t="s">
        <v>114</v>
      </c>
      <c r="G38" s="278" t="s">
        <v>133</v>
      </c>
    </row>
    <row r="39" spans="2:7" ht="33.75">
      <c r="B39" s="282"/>
      <c r="C39" s="283"/>
      <c r="D39" s="250" t="s">
        <v>539</v>
      </c>
      <c r="E39" s="277"/>
      <c r="F39" s="277" t="s">
        <v>151</v>
      </c>
      <c r="G39" s="278" t="s">
        <v>170</v>
      </c>
    </row>
    <row r="40" spans="2:7" ht="14.25" thickBot="1">
      <c r="B40" s="284"/>
      <c r="C40" s="285"/>
      <c r="D40" s="286"/>
      <c r="E40" s="287"/>
      <c r="F40" s="287" t="s">
        <v>116</v>
      </c>
      <c r="G40" s="288" t="s">
        <v>136</v>
      </c>
    </row>
  </sheetData>
  <sheetProtection formatCells="0" insertRows="0" deleteRows="0"/>
  <customSheetViews>
    <customSheetView guid="{208C4BE9-EB13-412E-87DB-6F6EF676AC78}" scale="115" showRuler="0" topLeftCell="A10">
      <selection activeCell="E44" sqref="E44"/>
      <pageMargins left="0.75" right="0.75" top="1" bottom="1" header="0.51200000000000001" footer="0.51200000000000001"/>
      <pageSetup paperSize="9" orientation="portrait" horizontalDpi="300" verticalDpi="300" r:id="rId1"/>
      <headerFooter alignWithMargins="0"/>
    </customSheetView>
    <customSheetView guid="{C9D3707F-798B-426C-ADC6-D6DA36DBAE0D}" scale="115" showRuler="0" topLeftCell="A10">
      <selection activeCell="E44" sqref="E44"/>
      <pageMargins left="0.75" right="0.75" top="1" bottom="1" header="0.51200000000000001" footer="0.51200000000000001"/>
      <pageSetup paperSize="9" orientation="portrait" horizontalDpi="300" verticalDpi="300" r:id="rId2"/>
      <headerFooter alignWithMargins="0"/>
    </customSheetView>
    <customSheetView guid="{F350A607-7567-472C-83DF-0C5EF1701BCB}" scale="115" showRuler="0" topLeftCell="A10">
      <selection activeCell="E44" sqref="E44"/>
      <pageMargins left="0.75" right="0.75" top="1" bottom="1" header="0.51200000000000001" footer="0.51200000000000001"/>
      <pageSetup paperSize="9" orientation="portrait" horizontalDpi="300" verticalDpi="300" r:id="rId3"/>
      <headerFooter alignWithMargins="0"/>
    </customSheetView>
    <customSheetView guid="{9A298510-BEA3-4CBD-B3A4-C8015D814BFE}" scale="85" showRuler="0">
      <pageMargins left="0.75" right="0.75" top="1" bottom="1" header="0.51200000000000001" footer="0.51200000000000001"/>
      <pageSetup paperSize="9" orientation="portrait" horizontalDpi="300" verticalDpi="300" r:id="rId4"/>
      <headerFooter alignWithMargins="0"/>
    </customSheetView>
    <customSheetView guid="{0B0C28B3-CAE7-466F-B847-0E084213D52D}" scale="85" showPageBreaks="1" showRuler="0">
      <pageMargins left="0.75" right="0.75" top="1" bottom="1" header="0.51200000000000001" footer="0.51200000000000001"/>
      <pageSetup paperSize="9" orientation="portrait" horizontalDpi="300" verticalDpi="300" r:id="rId5"/>
      <headerFooter alignWithMargins="0"/>
    </customSheetView>
    <customSheetView guid="{B00E6704-ADFE-4AE4-BE35-1CFBFA5415F2}" scale="115" showRuler="0">
      <pageMargins left="0.75" right="0.75" top="1" bottom="1" header="0.51200000000000001" footer="0.51200000000000001"/>
      <pageSetup paperSize="9" orientation="portrait" horizontalDpi="300" verticalDpi="300" r:id="rId6"/>
      <headerFooter alignWithMargins="0"/>
    </customSheetView>
    <customSheetView guid="{EADB27D0-557C-4F7A-AAD5-53A1ADAFF5E2}" scale="115" showRuler="0">
      <pageMargins left="0.75" right="0.75" top="1" bottom="1" header="0.51200000000000001" footer="0.51200000000000001"/>
      <pageSetup paperSize="9" orientation="portrait" horizontalDpi="300" verticalDpi="300" r:id="rId7"/>
      <headerFooter alignWithMargins="0"/>
    </customSheetView>
    <customSheetView guid="{304AF253-2D3E-4834-B2BE-2B013C01C317}" scale="115" showRuler="0" topLeftCell="A16">
      <pageMargins left="0.75" right="0.75" top="1" bottom="1" header="0.51200000000000001" footer="0.51200000000000001"/>
      <pageSetup paperSize="9" orientation="portrait" horizontalDpi="300" verticalDpi="300" r:id="rId8"/>
      <headerFooter alignWithMargins="0"/>
    </customSheetView>
    <customSheetView guid="{2DFF15CA-CB1B-47C9-95D8-3F2C08492AA3}" scale="85" showRuler="0">
      <pageMargins left="0.75" right="0.75" top="1" bottom="1" header="0.51200000000000001" footer="0.51200000000000001"/>
      <pageSetup paperSize="9" orientation="portrait" horizontalDpi="300" verticalDpi="300" r:id="rId9"/>
      <headerFooter alignWithMargins="0"/>
    </customSheetView>
    <customSheetView guid="{15443C2D-82C1-4588-8195-8BD954D3C498}" scale="85" showRuler="0">
      <pageMargins left="0.75" right="0.75" top="1" bottom="1" header="0.51200000000000001" footer="0.51200000000000001"/>
      <pageSetup paperSize="9" orientation="portrait" horizontalDpi="300" verticalDpi="300" r:id="rId10"/>
      <headerFooter alignWithMargins="0"/>
    </customSheetView>
    <customSheetView guid="{9380E699-E27C-4311-8B8B-52DCF8894965}" showRuler="0">
      <selection activeCell="G3" sqref="G3"/>
      <pageMargins left="0.75" right="0.75" top="1" bottom="1" header="0.51200000000000001" footer="0.51200000000000001"/>
      <pageSetup paperSize="9" orientation="portrait" horizontalDpi="300" verticalDpi="300" r:id="rId11"/>
      <headerFooter alignWithMargins="0"/>
    </customSheetView>
    <customSheetView guid="{01D327F4-417E-44F7-B6A4-710876626408}" showRuler="0">
      <selection activeCell="G3" sqref="G3"/>
      <pageMargins left="0.75" right="0.75" top="1" bottom="1" header="0.51200000000000001" footer="0.51200000000000001"/>
      <pageSetup paperSize="9" orientation="portrait" horizontalDpi="300" verticalDpi="300" r:id="rId12"/>
      <headerFooter alignWithMargins="0"/>
    </customSheetView>
    <customSheetView guid="{5422F15B-159A-41D9-916F-36400AB3DE42}" showRuler="0">
      <selection activeCell="G3" sqref="G3"/>
      <pageMargins left="0.75" right="0.75" top="1" bottom="1" header="0.51200000000000001" footer="0.51200000000000001"/>
      <pageSetup paperSize="9" orientation="portrait" horizontalDpi="300" verticalDpi="300" r:id="rId13"/>
      <headerFooter alignWithMargins="0"/>
    </customSheetView>
    <customSheetView guid="{421CB3D9-2E9C-4AEA-B7B0-464183A0C67A}" scale="85" showRuler="0">
      <pageMargins left="0.75" right="0.75" top="1" bottom="1" header="0.51200000000000001" footer="0.51200000000000001"/>
      <pageSetup paperSize="9" orientation="portrait" horizontalDpi="300" verticalDpi="300" r:id="rId14"/>
      <headerFooter alignWithMargins="0"/>
    </customSheetView>
    <customSheetView guid="{767C11D7-A267-4096-876E-1FBA40EE3D8B}" scale="85" showPageBreaks="1" showRuler="0">
      <pageMargins left="0.75" right="0.75" top="1" bottom="1" header="0.51200000000000001" footer="0.51200000000000001"/>
      <pageSetup paperSize="9" orientation="portrait" horizontalDpi="300" verticalDpi="300" r:id="rId15"/>
      <headerFooter alignWithMargins="0"/>
    </customSheetView>
    <customSheetView guid="{1A53274C-F912-48F6-993C-CE18D78A77D0}" scale="85" showRuler="0">
      <pageMargins left="0.75" right="0.75" top="1" bottom="1" header="0.51200000000000001" footer="0.51200000000000001"/>
      <pageSetup paperSize="9" orientation="portrait" horizontalDpi="300" verticalDpi="300" r:id="rId16"/>
      <headerFooter alignWithMargins="0"/>
    </customSheetView>
    <customSheetView guid="{E7DAB086-C13D-4DC1-A526-2BC54D284F02}" scale="115" showRuler="0">
      <pageMargins left="0.75" right="0.75" top="1" bottom="1" header="0.51200000000000001" footer="0.51200000000000001"/>
      <pageSetup paperSize="9" orientation="portrait" horizontalDpi="300" verticalDpi="300" r:id="rId17"/>
      <headerFooter alignWithMargins="0"/>
    </customSheetView>
    <customSheetView guid="{1709BFE4-3254-45B4-AFD2-AF4591A7B2EA}" scale="115" showRuler="0">
      <pageMargins left="0.75" right="0.75" top="1" bottom="1" header="0.51200000000000001" footer="0.51200000000000001"/>
      <pageSetup paperSize="9" orientation="portrait" horizontalDpi="300" verticalDpi="300" r:id="rId18"/>
      <headerFooter alignWithMargins="0"/>
    </customSheetView>
    <customSheetView guid="{FAE5C15D-C24D-4CEF-ABCC-FA08B47BE446}" scale="85" showRuler="0">
      <pageMargins left="0.75" right="0.75" top="1" bottom="1" header="0.51200000000000001" footer="0.51200000000000001"/>
      <pageSetup paperSize="9" orientation="portrait" horizontalDpi="300" verticalDpi="300" r:id="rId19"/>
      <headerFooter alignWithMargins="0"/>
    </customSheetView>
    <customSheetView guid="{EAA90FA2-4FFA-41CF-9E77-6C997802DE9C}" scale="115" showRuler="0">
      <pageMargins left="0.75" right="0.75" top="1" bottom="1" header="0.51200000000000001" footer="0.51200000000000001"/>
      <pageSetup paperSize="9" orientation="portrait" horizontalDpi="300" verticalDpi="300" r:id="rId20"/>
      <headerFooter alignWithMargins="0"/>
    </customSheetView>
    <customSheetView guid="{0A72D81E-05E6-4579-813E-A576F86B9BF5}" scale="115" showRuler="0">
      <pageMargins left="0.75" right="0.75" top="1" bottom="1" header="0.51200000000000001" footer="0.51200000000000001"/>
      <pageSetup paperSize="9" orientation="portrait" horizontalDpi="300" verticalDpi="300" r:id="rId21"/>
      <headerFooter alignWithMargins="0"/>
    </customSheetView>
    <customSheetView guid="{50634D19-0161-4F5A-B253-23B6BCEA81D9}" scale="115" showRuler="0" topLeftCell="A10">
      <selection activeCell="E44" sqref="E44"/>
      <pageMargins left="0.75" right="0.75" top="1" bottom="1" header="0.51200000000000001" footer="0.51200000000000001"/>
      <pageSetup paperSize="9" orientation="portrait" horizontalDpi="300" verticalDpi="300" r:id="rId22"/>
      <headerFooter alignWithMargins="0"/>
    </customSheetView>
    <customSheetView guid="{F0A19407-52E0-4A95-842A-5C1F5F980D30}" scale="115" showRuler="0" topLeftCell="A10">
      <selection activeCell="E44" sqref="E44"/>
      <pageMargins left="0.75" right="0.75" top="1" bottom="1" header="0.51200000000000001" footer="0.51200000000000001"/>
      <pageSetup paperSize="9" orientation="portrait" horizontalDpi="300" verticalDpi="300" r:id="rId23"/>
      <headerFooter alignWithMargins="0"/>
    </customSheetView>
    <customSheetView guid="{C38B0056-DCFC-4A2A-9719-931C5C91C0B3}" scale="115" showRuler="0" topLeftCell="A10">
      <selection activeCell="E44" sqref="E44"/>
      <pageMargins left="0.75" right="0.75" top="1" bottom="1" header="0.51200000000000001" footer="0.51200000000000001"/>
      <pageSetup paperSize="9" orientation="portrait" horizontalDpi="300" verticalDpi="300" r:id="rId24"/>
      <headerFooter alignWithMargins="0"/>
    </customSheetView>
    <customSheetView guid="{E4F2B051-A5A3-433E-BCB0-1B4BD7617880}" scale="115" showRuler="0">
      <pageMargins left="0.75" right="0.75" top="1" bottom="1" header="0.51200000000000001" footer="0.51200000000000001"/>
      <pageSetup paperSize="9" orientation="portrait" horizontalDpi="300" verticalDpi="300" r:id="rId25"/>
      <headerFooter alignWithMargins="0"/>
    </customSheetView>
    <customSheetView guid="{D7AEA922-4F68-4E62-BF47-C14EFC12E7DC}" scale="115" showRuler="0" topLeftCell="A10">
      <selection activeCell="E44" sqref="E44"/>
      <pageMargins left="0.75" right="0.75" top="1" bottom="1" header="0.51200000000000001" footer="0.51200000000000001"/>
      <pageSetup paperSize="9" orientation="portrait" horizontalDpi="300" verticalDpi="300" r:id="rId26"/>
      <headerFooter alignWithMargins="0"/>
    </customSheetView>
  </customSheetViews>
  <phoneticPr fontId="4"/>
  <pageMargins left="0.75" right="0.75" top="1" bottom="1" header="0.51200000000000001" footer="0.51200000000000001"/>
  <pageSetup paperSize="9" orientation="portrait" horizontalDpi="300" verticalDpi="300" r:id="rId27"/>
  <headerFooter alignWithMargins="0"/>
  <drawing r:id="rId28"/>
  <legacyDrawing r:id="rId29"/>
  <mc:AlternateContent xmlns:mc="http://schemas.openxmlformats.org/markup-compatibility/2006">
    <mc:Choice Requires="x14">
      <controls>
        <mc:AlternateContent xmlns:mc="http://schemas.openxmlformats.org/markup-compatibility/2006">
          <mc:Choice Requires="x14">
            <control shapeId="4099" r:id="rId30" name="Button 3">
              <controlPr defaultSize="0" print="0" autoFill="0" autoPict="0" macro="[0]!Saiteigi">
                <anchor moveWithCells="1">
                  <from>
                    <xdr:col>1</xdr:col>
                    <xdr:colOff>0</xdr:colOff>
                    <xdr:row>0</xdr:row>
                    <xdr:rowOff>0</xdr:rowOff>
                  </from>
                  <to>
                    <xdr:col>1</xdr:col>
                    <xdr:colOff>657225</xdr:colOff>
                    <xdr:row>2</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E64"/>
  <sheetViews>
    <sheetView showGridLines="0" zoomScaleNormal="100" workbookViewId="0"/>
  </sheetViews>
  <sheetFormatPr defaultColWidth="13" defaultRowHeight="13.5"/>
  <cols>
    <col min="1" max="3" width="10.375" style="202" customWidth="1"/>
    <col min="4" max="4" width="66.125" style="202" customWidth="1"/>
    <col min="5" max="5" width="43.125" style="202" customWidth="1"/>
    <col min="6" max="16384" width="13" style="202"/>
  </cols>
  <sheetData>
    <row r="1" spans="1:5" ht="17.25">
      <c r="A1" s="201" t="s">
        <v>158</v>
      </c>
      <c r="B1" s="201"/>
      <c r="C1" s="201"/>
    </row>
    <row r="3" spans="1:5">
      <c r="A3" s="1" t="s">
        <v>159</v>
      </c>
      <c r="B3" s="2" t="s">
        <v>67</v>
      </c>
      <c r="C3" s="2" t="s">
        <v>68</v>
      </c>
      <c r="D3" s="2" t="s">
        <v>69</v>
      </c>
      <c r="E3" s="2" t="s">
        <v>37</v>
      </c>
    </row>
    <row r="4" spans="1:5">
      <c r="A4" s="214" t="s">
        <v>221</v>
      </c>
      <c r="B4" s="199">
        <v>38902</v>
      </c>
      <c r="C4" s="198" t="s">
        <v>38</v>
      </c>
      <c r="D4" s="203" t="s">
        <v>62</v>
      </c>
      <c r="E4" s="203"/>
    </row>
    <row r="5" spans="1:5" ht="72">
      <c r="A5" s="214" t="s">
        <v>222</v>
      </c>
      <c r="B5" s="199">
        <v>38926</v>
      </c>
      <c r="C5" s="198" t="s">
        <v>66</v>
      </c>
      <c r="D5" s="203" t="s">
        <v>223</v>
      </c>
      <c r="E5" s="203" t="s">
        <v>5</v>
      </c>
    </row>
    <row r="6" spans="1:5" ht="24">
      <c r="A6" s="715">
        <v>1.02</v>
      </c>
      <c r="B6" s="716">
        <v>38945</v>
      </c>
      <c r="C6" s="722" t="s">
        <v>38</v>
      </c>
      <c r="D6" s="203" t="s">
        <v>43</v>
      </c>
      <c r="E6" s="717" t="s">
        <v>6</v>
      </c>
    </row>
    <row r="7" spans="1:5" ht="60">
      <c r="A7" s="715"/>
      <c r="B7" s="716"/>
      <c r="C7" s="721"/>
      <c r="D7" s="203" t="s">
        <v>60</v>
      </c>
      <c r="E7" s="718"/>
    </row>
    <row r="8" spans="1:5">
      <c r="A8" s="715"/>
      <c r="B8" s="716"/>
      <c r="C8" s="721"/>
      <c r="D8" s="203" t="s">
        <v>61</v>
      </c>
      <c r="E8" s="718"/>
    </row>
    <row r="9" spans="1:5">
      <c r="A9" s="715">
        <v>1.03</v>
      </c>
      <c r="B9" s="716">
        <v>38979</v>
      </c>
      <c r="C9" s="721" t="s">
        <v>38</v>
      </c>
      <c r="D9" s="203" t="s">
        <v>58</v>
      </c>
      <c r="E9" s="719" t="s">
        <v>6</v>
      </c>
    </row>
    <row r="10" spans="1:5">
      <c r="A10" s="715"/>
      <c r="B10" s="716"/>
      <c r="C10" s="721"/>
      <c r="D10" s="203" t="s">
        <v>59</v>
      </c>
      <c r="E10" s="720"/>
    </row>
    <row r="11" spans="1:5" ht="24">
      <c r="A11" s="81">
        <v>1.04</v>
      </c>
      <c r="B11" s="199">
        <v>39462</v>
      </c>
      <c r="C11" s="200" t="s">
        <v>0</v>
      </c>
      <c r="D11" s="203" t="s">
        <v>3</v>
      </c>
      <c r="E11" s="80" t="s">
        <v>224</v>
      </c>
    </row>
    <row r="12" spans="1:5" ht="24">
      <c r="A12" s="715">
        <v>1.05</v>
      </c>
      <c r="B12" s="716">
        <v>39590</v>
      </c>
      <c r="C12" s="721" t="s">
        <v>1</v>
      </c>
      <c r="D12" s="203" t="s">
        <v>2</v>
      </c>
      <c r="E12" s="80" t="s">
        <v>8</v>
      </c>
    </row>
    <row r="13" spans="1:5" ht="24">
      <c r="A13" s="715"/>
      <c r="B13" s="716"/>
      <c r="C13" s="721"/>
      <c r="D13" s="203" t="s">
        <v>4</v>
      </c>
      <c r="E13" s="80" t="s">
        <v>7</v>
      </c>
    </row>
    <row r="14" spans="1:5" ht="48">
      <c r="A14" s="81" t="s">
        <v>225</v>
      </c>
      <c r="B14" s="199">
        <v>41547</v>
      </c>
      <c r="C14" s="198" t="s">
        <v>196</v>
      </c>
      <c r="D14" s="203" t="s">
        <v>216</v>
      </c>
      <c r="E14" s="203" t="s">
        <v>245</v>
      </c>
    </row>
    <row r="15" spans="1:5">
      <c r="A15" s="78" t="s">
        <v>218</v>
      </c>
      <c r="B15" s="79">
        <v>41614</v>
      </c>
      <c r="C15" s="79" t="s">
        <v>219</v>
      </c>
      <c r="D15" s="80" t="s">
        <v>220</v>
      </c>
      <c r="E15" s="80" t="s">
        <v>237</v>
      </c>
    </row>
    <row r="16" spans="1:5" ht="79.5" customHeight="1">
      <c r="A16" s="215">
        <v>2.02</v>
      </c>
      <c r="B16" s="89">
        <v>41614</v>
      </c>
      <c r="C16" s="198" t="s">
        <v>38</v>
      </c>
      <c r="D16" s="203" t="s">
        <v>226</v>
      </c>
      <c r="E16" s="203" t="s">
        <v>238</v>
      </c>
    </row>
    <row r="17" spans="1:5">
      <c r="A17" s="216"/>
      <c r="B17" s="170"/>
      <c r="C17" s="88" t="s">
        <v>219</v>
      </c>
      <c r="D17" s="205" t="s">
        <v>236</v>
      </c>
      <c r="E17" s="205" t="s">
        <v>239</v>
      </c>
    </row>
    <row r="18" spans="1:5" ht="27" customHeight="1">
      <c r="A18" s="217">
        <v>2.0299999999999998</v>
      </c>
      <c r="B18" s="171">
        <v>41719</v>
      </c>
      <c r="C18" s="88" t="s">
        <v>38</v>
      </c>
      <c r="D18" s="207" t="s">
        <v>303</v>
      </c>
      <c r="E18" s="205" t="s">
        <v>304</v>
      </c>
    </row>
    <row r="19" spans="1:5" ht="27" customHeight="1">
      <c r="A19" s="218"/>
      <c r="B19" s="172"/>
      <c r="C19" s="168" t="s">
        <v>196</v>
      </c>
      <c r="D19" s="207" t="s">
        <v>247</v>
      </c>
      <c r="E19" s="205" t="s">
        <v>246</v>
      </c>
    </row>
    <row r="20" spans="1:5" ht="27" customHeight="1">
      <c r="A20" s="218"/>
      <c r="B20" s="172"/>
      <c r="C20" s="168" t="s">
        <v>242</v>
      </c>
      <c r="D20" s="205" t="s">
        <v>243</v>
      </c>
      <c r="E20" s="205" t="s">
        <v>244</v>
      </c>
    </row>
    <row r="21" spans="1:5" ht="27" customHeight="1">
      <c r="A21" s="218"/>
      <c r="B21" s="172"/>
      <c r="C21" s="169"/>
      <c r="D21" s="207" t="s">
        <v>248</v>
      </c>
      <c r="E21" s="205" t="s">
        <v>249</v>
      </c>
    </row>
    <row r="22" spans="1:5" ht="24">
      <c r="A22" s="218"/>
      <c r="B22" s="169"/>
      <c r="C22" s="169"/>
      <c r="D22" s="207" t="s">
        <v>290</v>
      </c>
      <c r="E22" s="206" t="s">
        <v>289</v>
      </c>
    </row>
    <row r="23" spans="1:5" ht="24">
      <c r="A23" s="218"/>
      <c r="B23" s="169"/>
      <c r="C23" s="169"/>
      <c r="D23" s="207" t="s">
        <v>302</v>
      </c>
      <c r="E23" s="204"/>
    </row>
    <row r="24" spans="1:5" ht="36">
      <c r="A24" s="218"/>
      <c r="B24" s="169"/>
      <c r="C24" s="169"/>
      <c r="D24" s="207" t="s">
        <v>295</v>
      </c>
      <c r="E24" s="206" t="s">
        <v>291</v>
      </c>
    </row>
    <row r="25" spans="1:5" ht="72">
      <c r="A25" s="218"/>
      <c r="B25" s="169"/>
      <c r="C25" s="169"/>
      <c r="D25" s="207" t="s">
        <v>297</v>
      </c>
      <c r="E25" s="208"/>
    </row>
    <row r="26" spans="1:5" ht="60">
      <c r="A26" s="218"/>
      <c r="B26" s="169"/>
      <c r="C26" s="169"/>
      <c r="D26" s="207" t="s">
        <v>296</v>
      </c>
      <c r="E26" s="208"/>
    </row>
    <row r="27" spans="1:5" ht="24">
      <c r="A27" s="218"/>
      <c r="B27" s="169"/>
      <c r="C27" s="169"/>
      <c r="D27" s="207" t="s">
        <v>298</v>
      </c>
      <c r="E27" s="208"/>
    </row>
    <row r="28" spans="1:5" ht="24">
      <c r="A28" s="218"/>
      <c r="B28" s="169"/>
      <c r="C28" s="169"/>
      <c r="D28" s="207" t="s">
        <v>306</v>
      </c>
      <c r="E28" s="206" t="s">
        <v>300</v>
      </c>
    </row>
    <row r="29" spans="1:5" ht="24">
      <c r="A29" s="218"/>
      <c r="B29" s="169"/>
      <c r="C29" s="169"/>
      <c r="D29" s="207" t="s">
        <v>299</v>
      </c>
      <c r="E29" s="208"/>
    </row>
    <row r="30" spans="1:5" ht="24">
      <c r="A30" s="219"/>
      <c r="B30" s="170"/>
      <c r="C30" s="170"/>
      <c r="D30" s="207" t="s">
        <v>301</v>
      </c>
      <c r="E30" s="204"/>
    </row>
    <row r="31" spans="1:5" ht="24">
      <c r="A31" s="217">
        <v>2.04</v>
      </c>
      <c r="B31" s="171">
        <v>41753</v>
      </c>
      <c r="C31" s="168" t="s">
        <v>242</v>
      </c>
      <c r="D31" s="207" t="s">
        <v>307</v>
      </c>
      <c r="E31" s="204" t="s">
        <v>310</v>
      </c>
    </row>
    <row r="32" spans="1:5" ht="24">
      <c r="A32" s="217">
        <v>2.0499999999999998</v>
      </c>
      <c r="B32" s="171">
        <v>41810</v>
      </c>
      <c r="C32" s="168" t="s">
        <v>242</v>
      </c>
      <c r="D32" s="207" t="s">
        <v>389</v>
      </c>
      <c r="E32" s="204" t="s">
        <v>310</v>
      </c>
    </row>
    <row r="33" spans="1:5" ht="36">
      <c r="A33" s="219"/>
      <c r="B33" s="173"/>
      <c r="C33" s="170"/>
      <c r="D33" s="207" t="s">
        <v>312</v>
      </c>
      <c r="E33" s="204" t="s">
        <v>311</v>
      </c>
    </row>
    <row r="34" spans="1:5" ht="24">
      <c r="A34" s="218">
        <v>2.06</v>
      </c>
      <c r="B34" s="172">
        <v>41908</v>
      </c>
      <c r="C34" s="168" t="s">
        <v>242</v>
      </c>
      <c r="D34" s="207" t="s">
        <v>317</v>
      </c>
      <c r="E34" s="204" t="s">
        <v>316</v>
      </c>
    </row>
    <row r="35" spans="1:5" ht="72">
      <c r="A35" s="218"/>
      <c r="B35" s="172"/>
      <c r="C35" s="169"/>
      <c r="D35" s="207" t="s">
        <v>390</v>
      </c>
      <c r="E35" s="204" t="s">
        <v>355</v>
      </c>
    </row>
    <row r="36" spans="1:5" ht="60">
      <c r="A36" s="219"/>
      <c r="B36" s="173"/>
      <c r="C36" s="170"/>
      <c r="D36" s="207" t="s">
        <v>348</v>
      </c>
      <c r="E36" s="204" t="s">
        <v>319</v>
      </c>
    </row>
    <row r="37" spans="1:5" ht="24">
      <c r="A37" s="219">
        <v>2.0699999999999998</v>
      </c>
      <c r="B37" s="173">
        <v>41947</v>
      </c>
      <c r="C37" s="170" t="s">
        <v>242</v>
      </c>
      <c r="D37" s="207" t="s">
        <v>349</v>
      </c>
      <c r="E37" s="209" t="s">
        <v>350</v>
      </c>
    </row>
    <row r="38" spans="1:5" ht="24">
      <c r="A38" s="218">
        <v>2.08</v>
      </c>
      <c r="B38" s="172">
        <v>41999</v>
      </c>
      <c r="C38" s="169" t="s">
        <v>242</v>
      </c>
      <c r="D38" s="207" t="s">
        <v>353</v>
      </c>
      <c r="E38" s="209" t="s">
        <v>354</v>
      </c>
    </row>
    <row r="39" spans="1:5" ht="24">
      <c r="A39" s="219"/>
      <c r="B39" s="173"/>
      <c r="C39" s="170"/>
      <c r="D39" s="207" t="s">
        <v>357</v>
      </c>
      <c r="E39" s="209" t="s">
        <v>356</v>
      </c>
    </row>
    <row r="40" spans="1:5">
      <c r="A40" s="218">
        <v>2.09</v>
      </c>
      <c r="B40" s="172">
        <v>42034</v>
      </c>
      <c r="C40" s="169" t="s">
        <v>361</v>
      </c>
      <c r="D40" s="207" t="s">
        <v>362</v>
      </c>
      <c r="E40" s="209" t="s">
        <v>363</v>
      </c>
    </row>
    <row r="41" spans="1:5" ht="24">
      <c r="A41" s="219"/>
      <c r="B41" s="173"/>
      <c r="C41" s="170"/>
      <c r="D41" s="210" t="s">
        <v>365</v>
      </c>
      <c r="E41" s="210" t="s">
        <v>370</v>
      </c>
    </row>
    <row r="42" spans="1:5" ht="132">
      <c r="A42" s="220" t="s">
        <v>368</v>
      </c>
      <c r="B42" s="172">
        <v>42069</v>
      </c>
      <c r="C42" s="169" t="s">
        <v>369</v>
      </c>
      <c r="D42" s="210" t="s">
        <v>382</v>
      </c>
      <c r="E42" s="211" t="s">
        <v>371</v>
      </c>
    </row>
    <row r="43" spans="1:5" ht="36">
      <c r="A43" s="220"/>
      <c r="B43" s="172"/>
      <c r="C43" s="169"/>
      <c r="D43" s="210" t="s">
        <v>376</v>
      </c>
      <c r="E43" s="212"/>
    </row>
    <row r="44" spans="1:5" ht="36">
      <c r="A44" s="221"/>
      <c r="B44" s="173"/>
      <c r="C44" s="170"/>
      <c r="D44" s="210" t="s">
        <v>375</v>
      </c>
      <c r="E44" s="212"/>
    </row>
    <row r="45" spans="1:5" ht="48">
      <c r="A45" s="220">
        <v>2.11</v>
      </c>
      <c r="B45" s="172">
        <v>42136</v>
      </c>
      <c r="C45" s="169" t="s">
        <v>384</v>
      </c>
      <c r="D45" s="210" t="s">
        <v>385</v>
      </c>
      <c r="E45" s="211" t="s">
        <v>397</v>
      </c>
    </row>
    <row r="46" spans="1:5" ht="36">
      <c r="A46" s="220"/>
      <c r="B46" s="172"/>
      <c r="C46" s="169"/>
      <c r="D46" s="210" t="s">
        <v>388</v>
      </c>
      <c r="E46" s="213"/>
    </row>
    <row r="47" spans="1:5" ht="24">
      <c r="A47" s="220"/>
      <c r="B47" s="172"/>
      <c r="C47" s="169"/>
      <c r="D47" s="210" t="s">
        <v>392</v>
      </c>
      <c r="E47" s="213"/>
    </row>
    <row r="48" spans="1:5" ht="24">
      <c r="A48" s="220"/>
      <c r="B48" s="172"/>
      <c r="C48" s="170"/>
      <c r="D48" s="210" t="s">
        <v>391</v>
      </c>
      <c r="E48" s="212"/>
    </row>
    <row r="49" spans="1:5" ht="24">
      <c r="A49" s="221"/>
      <c r="B49" s="173"/>
      <c r="C49" s="170" t="s">
        <v>394</v>
      </c>
      <c r="D49" s="210" t="s">
        <v>396</v>
      </c>
      <c r="E49" s="212" t="s">
        <v>395</v>
      </c>
    </row>
    <row r="50" spans="1:5" ht="48">
      <c r="A50" s="217">
        <v>2.12</v>
      </c>
      <c r="B50" s="171">
        <v>42179</v>
      </c>
      <c r="C50" s="168" t="s">
        <v>394</v>
      </c>
      <c r="D50" s="207" t="s">
        <v>424</v>
      </c>
      <c r="E50" s="205" t="s">
        <v>423</v>
      </c>
    </row>
    <row r="51" spans="1:5" ht="36">
      <c r="A51" s="219"/>
      <c r="B51" s="173"/>
      <c r="C51" s="170"/>
      <c r="D51" s="207" t="s">
        <v>425</v>
      </c>
      <c r="E51" s="205" t="s">
        <v>426</v>
      </c>
    </row>
    <row r="52" spans="1:5" ht="24">
      <c r="A52" s="217">
        <v>2.13</v>
      </c>
      <c r="B52" s="171">
        <v>42276</v>
      </c>
      <c r="C52" s="168" t="s">
        <v>430</v>
      </c>
      <c r="D52" s="207" t="s">
        <v>431</v>
      </c>
      <c r="E52" s="205" t="s">
        <v>433</v>
      </c>
    </row>
    <row r="53" spans="1:5" ht="24">
      <c r="A53" s="218"/>
      <c r="B53" s="172"/>
      <c r="C53" s="169"/>
      <c r="D53" s="207" t="s">
        <v>434</v>
      </c>
      <c r="E53" s="205" t="s">
        <v>432</v>
      </c>
    </row>
    <row r="54" spans="1:5" ht="24">
      <c r="A54" s="218"/>
      <c r="B54" s="172"/>
      <c r="C54" s="169"/>
      <c r="D54" s="207" t="s">
        <v>435</v>
      </c>
      <c r="E54" s="205" t="s">
        <v>436</v>
      </c>
    </row>
    <row r="55" spans="1:5" ht="24">
      <c r="A55" s="218"/>
      <c r="B55" s="172"/>
      <c r="C55" s="169"/>
      <c r="D55" s="207" t="s">
        <v>444</v>
      </c>
      <c r="E55" s="206" t="s">
        <v>454</v>
      </c>
    </row>
    <row r="56" spans="1:5" ht="24">
      <c r="A56" s="218"/>
      <c r="B56" s="172"/>
      <c r="C56" s="169"/>
      <c r="D56" s="207" t="s">
        <v>451</v>
      </c>
      <c r="E56" s="208"/>
    </row>
    <row r="57" spans="1:5" ht="24">
      <c r="A57" s="218"/>
      <c r="B57" s="172"/>
      <c r="C57" s="169"/>
      <c r="D57" s="207" t="s">
        <v>450</v>
      </c>
      <c r="E57" s="204"/>
    </row>
    <row r="58" spans="1:5" ht="24">
      <c r="A58" s="219"/>
      <c r="B58" s="173"/>
      <c r="C58" s="170"/>
      <c r="D58" s="207" t="s">
        <v>442</v>
      </c>
      <c r="E58" s="205" t="s">
        <v>443</v>
      </c>
    </row>
    <row r="59" spans="1:5" ht="36">
      <c r="A59" s="217" t="s">
        <v>455</v>
      </c>
      <c r="B59" s="171">
        <v>42426</v>
      </c>
      <c r="C59" s="168" t="s">
        <v>430</v>
      </c>
      <c r="D59" s="207" t="s">
        <v>458</v>
      </c>
      <c r="E59" s="207" t="s">
        <v>456</v>
      </c>
    </row>
    <row r="60" spans="1:5" ht="36">
      <c r="A60" s="217" t="s">
        <v>460</v>
      </c>
      <c r="B60" s="171">
        <v>42742</v>
      </c>
      <c r="C60" s="168" t="s">
        <v>394</v>
      </c>
      <c r="D60" s="207" t="s">
        <v>461</v>
      </c>
      <c r="E60" s="207" t="s">
        <v>462</v>
      </c>
    </row>
    <row r="61" spans="1:5" ht="36">
      <c r="A61" s="217" t="s">
        <v>467</v>
      </c>
      <c r="B61" s="171">
        <v>42811</v>
      </c>
      <c r="C61" s="168" t="s">
        <v>394</v>
      </c>
      <c r="D61" s="207" t="s">
        <v>468</v>
      </c>
      <c r="E61" s="207" t="s">
        <v>469</v>
      </c>
    </row>
    <row r="62" spans="1:5" ht="132">
      <c r="A62" s="222" t="s">
        <v>474</v>
      </c>
      <c r="B62" s="484">
        <v>43096</v>
      </c>
      <c r="C62" s="88" t="s">
        <v>475</v>
      </c>
      <c r="D62" s="207" t="s">
        <v>476</v>
      </c>
      <c r="E62" s="207" t="s">
        <v>477</v>
      </c>
    </row>
    <row r="63" spans="1:5" ht="24">
      <c r="A63" s="222" t="s">
        <v>480</v>
      </c>
      <c r="B63" s="484">
        <v>43196</v>
      </c>
      <c r="C63" s="88" t="s">
        <v>481</v>
      </c>
      <c r="D63" s="207" t="s">
        <v>482</v>
      </c>
      <c r="E63" s="205" t="s">
        <v>483</v>
      </c>
    </row>
    <row r="64" spans="1:5">
      <c r="A64" s="222"/>
      <c r="B64" s="88"/>
      <c r="C64" s="88"/>
      <c r="D64" s="205"/>
      <c r="E64" s="205"/>
    </row>
  </sheetData>
  <mergeCells count="11">
    <mergeCell ref="E6:E8"/>
    <mergeCell ref="E9:E10"/>
    <mergeCell ref="C12:C13"/>
    <mergeCell ref="C6:C8"/>
    <mergeCell ref="C9:C10"/>
    <mergeCell ref="A6:A8"/>
    <mergeCell ref="A9:A10"/>
    <mergeCell ref="A12:A13"/>
    <mergeCell ref="B12:B13"/>
    <mergeCell ref="B6:B8"/>
    <mergeCell ref="B9:B10"/>
  </mergeCells>
  <phoneticPr fontId="4"/>
  <pageMargins left="0.75" right="0.75" top="1" bottom="1" header="0.51200000000000001" footer="0.51200000000000001"/>
  <pageSetup paperSize="9" scale="63" orientation="portrait" r:id="rId1"/>
  <headerFooter alignWithMargins="0">
    <oddFooter>&amp;A</oddFooter>
  </headerFooter>
  <ignoredErrors>
    <ignoredError sqref="A4:A5 A14:A15" numberStoredAsText="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sheetPr>
  <dimension ref="A1:BM41"/>
  <sheetViews>
    <sheetView zoomScaleNormal="100" workbookViewId="0"/>
  </sheetViews>
  <sheetFormatPr defaultRowHeight="13.5"/>
  <cols>
    <col min="1" max="1" width="11.375" customWidth="1"/>
    <col min="7" max="7" width="10.5" customWidth="1"/>
    <col min="13" max="13" width="11.625" customWidth="1"/>
    <col min="19" max="19" width="11.625" customWidth="1"/>
    <col min="25" max="25" width="11.125" customWidth="1"/>
    <col min="31" max="31" width="10.5" customWidth="1"/>
    <col min="32" max="32" width="14.5" customWidth="1"/>
    <col min="37" max="37" width="12.25" customWidth="1"/>
    <col min="38" max="38" width="14.875" customWidth="1"/>
    <col min="43" max="43" width="11.5" customWidth="1"/>
    <col min="44" max="44" width="13.625" customWidth="1"/>
    <col min="49" max="49" width="12.375" customWidth="1"/>
    <col min="50" max="50" width="13.625" customWidth="1"/>
    <col min="55" max="55" width="12.75" customWidth="1"/>
    <col min="56" max="56" width="13.25" customWidth="1"/>
    <col min="61" max="61" width="11.5" customWidth="1"/>
    <col min="62" max="62" width="13.5" customWidth="1"/>
  </cols>
  <sheetData>
    <row r="1" spans="1:65">
      <c r="A1" t="s">
        <v>564</v>
      </c>
      <c r="B1" t="s">
        <v>31</v>
      </c>
      <c r="C1" t="s">
        <v>100</v>
      </c>
      <c r="D1" t="s">
        <v>565</v>
      </c>
      <c r="E1" t="s">
        <v>566</v>
      </c>
      <c r="G1" t="s">
        <v>564</v>
      </c>
      <c r="H1" t="s">
        <v>31</v>
      </c>
      <c r="I1" t="s">
        <v>100</v>
      </c>
      <c r="J1" t="s">
        <v>567</v>
      </c>
      <c r="K1" t="s">
        <v>566</v>
      </c>
      <c r="M1" t="s">
        <v>564</v>
      </c>
      <c r="N1" t="s">
        <v>31</v>
      </c>
      <c r="O1" t="s">
        <v>100</v>
      </c>
      <c r="P1" t="s">
        <v>567</v>
      </c>
      <c r="Q1" t="s">
        <v>566</v>
      </c>
      <c r="S1" t="s">
        <v>564</v>
      </c>
      <c r="T1" t="s">
        <v>31</v>
      </c>
      <c r="U1" t="s">
        <v>100</v>
      </c>
      <c r="V1" t="s">
        <v>568</v>
      </c>
      <c r="W1" t="s">
        <v>566</v>
      </c>
      <c r="Y1" t="s">
        <v>564</v>
      </c>
      <c r="Z1" t="s">
        <v>31</v>
      </c>
      <c r="AA1" t="s">
        <v>100</v>
      </c>
      <c r="AB1" t="s">
        <v>567</v>
      </c>
      <c r="AC1" t="s">
        <v>566</v>
      </c>
      <c r="AE1" t="s">
        <v>564</v>
      </c>
      <c r="AF1" t="s">
        <v>31</v>
      </c>
      <c r="AG1" t="s">
        <v>100</v>
      </c>
      <c r="AH1" t="s">
        <v>568</v>
      </c>
      <c r="AI1" t="s">
        <v>566</v>
      </c>
      <c r="AK1" t="s">
        <v>564</v>
      </c>
      <c r="AL1" t="s">
        <v>31</v>
      </c>
      <c r="AM1" t="s">
        <v>100</v>
      </c>
      <c r="AN1" t="s">
        <v>567</v>
      </c>
      <c r="AO1" t="s">
        <v>566</v>
      </c>
      <c r="AQ1" t="s">
        <v>564</v>
      </c>
      <c r="AR1" t="s">
        <v>31</v>
      </c>
      <c r="AS1" t="s">
        <v>100</v>
      </c>
      <c r="AT1" t="s">
        <v>568</v>
      </c>
      <c r="AU1" t="s">
        <v>566</v>
      </c>
      <c r="AW1" t="s">
        <v>564</v>
      </c>
      <c r="AX1" t="s">
        <v>31</v>
      </c>
      <c r="AY1" t="s">
        <v>100</v>
      </c>
      <c r="AZ1" t="s">
        <v>568</v>
      </c>
      <c r="BA1" t="s">
        <v>566</v>
      </c>
      <c r="BC1" t="s">
        <v>564</v>
      </c>
      <c r="BD1" t="s">
        <v>31</v>
      </c>
      <c r="BE1" t="s">
        <v>100</v>
      </c>
      <c r="BF1" t="s">
        <v>567</v>
      </c>
      <c r="BG1" t="s">
        <v>566</v>
      </c>
      <c r="BI1" t="s">
        <v>564</v>
      </c>
      <c r="BJ1" t="s">
        <v>31</v>
      </c>
      <c r="BK1" t="s">
        <v>100</v>
      </c>
      <c r="BL1" t="s">
        <v>567</v>
      </c>
      <c r="BM1" t="s">
        <v>566</v>
      </c>
    </row>
    <row r="2" spans="1:65">
      <c r="A2" s="550">
        <v>43556</v>
      </c>
      <c r="B2" t="s">
        <v>198</v>
      </c>
      <c r="C2">
        <f>SUMIFS(レビュー管理!$O$11:$O$15,レビュー管理!$G$11:$G$15,ドキュメント指摘計測!B2,レビュー管理!$J$11:$J$15,"&gt;="&amp;A2,レビュー管理!$J$11:$J$15,"&lt;"&amp;EDATE(A2,1))</f>
        <v>0</v>
      </c>
      <c r="D2">
        <f>SUMIFS(レビュー管理!$AI$11:$AI$15,レビュー管理!$G$11:$G$15,ドキュメント指摘計測!B2,レビュー管理!$J$11:$J$15,"&gt;="&amp;A2,レビュー管理!$J$11:$J$15,"&lt;"&amp;EDATE(A2,1))</f>
        <v>0</v>
      </c>
      <c r="E2">
        <f t="shared" ref="E2:E13" si="0">IFERROR(D2/C2, 0)</f>
        <v>0</v>
      </c>
      <c r="G2" s="550">
        <v>43556</v>
      </c>
      <c r="H2" t="s">
        <v>398</v>
      </c>
      <c r="I2">
        <f>SUMIFS(レビュー管理!$O$11:$O$15,レビュー管理!$G$11:$G$15,ドキュメント指摘計測!H2,レビュー管理!$J$11:$J$15,"&gt;="&amp;G2,レビュー管理!$J$11:$J$15,"&lt;"&amp;EDATE(G2,1))</f>
        <v>0</v>
      </c>
      <c r="J2">
        <f>SUMIFS(レビュー管理!$AI$11:$AI$15,レビュー管理!$G$11:$G$15,ドキュメント指摘計測!H2,レビュー管理!$J$11:$J$15,"&gt;="&amp;G2,レビュー管理!$J$11:$J$15,"&lt;"&amp;EDATE(G2,1))</f>
        <v>0</v>
      </c>
      <c r="K2">
        <f t="shared" ref="K2:K13" si="1">IFERROR(J2/I2, 0)</f>
        <v>0</v>
      </c>
      <c r="M2" s="550">
        <v>43556</v>
      </c>
      <c r="N2" t="s">
        <v>140</v>
      </c>
      <c r="O2">
        <f>SUMIFS(レビュー管理!$O$11:$O$15,レビュー管理!$G$11:$G$15,ドキュメント指摘計測!N2,レビュー管理!$J$11:$J$15,"&gt;="&amp;M2,レビュー管理!$J$11:$J$15,"&lt;"&amp;EDATE(M2,1))</f>
        <v>0</v>
      </c>
      <c r="P2">
        <f>SUMIFS(レビュー管理!$AI$11:$AI$15,レビュー管理!$G$11:$G$15,ドキュメント指摘計測!N2,レビュー管理!$J$11:$J$15,"&gt;="&amp;M2,レビュー管理!$J$11:$J$15,"&lt;"&amp;EDATE(M2,1))</f>
        <v>0</v>
      </c>
      <c r="Q2">
        <f t="shared" ref="Q2:Q13" si="2">IFERROR(P2/O2, 0)</f>
        <v>0</v>
      </c>
      <c r="S2" s="550">
        <v>43556</v>
      </c>
      <c r="T2" t="s">
        <v>141</v>
      </c>
      <c r="U2">
        <f>SUMIFS(レビュー管理!$O$11:$O$15,レビュー管理!$G$11:$G$15,ドキュメント指摘計測!T2,レビュー管理!$J$11:$J$15,"&gt;="&amp;S2,レビュー管理!$J$11:$J$15,"&lt;"&amp;EDATE(S2,1))</f>
        <v>0</v>
      </c>
      <c r="V2">
        <f>SUMIFS(レビュー管理!$AI$11:$AI$15,レビュー管理!$G$11:$G$15,ドキュメント指摘計測!T2,レビュー管理!$J$11:$J$15,"&gt;="&amp;S2,レビュー管理!$J$11:$J$15,"&lt;"&amp;EDATE(S2,1))</f>
        <v>0</v>
      </c>
      <c r="W2">
        <f t="shared" ref="W2:W13" si="3">IFERROR(V2/U2, 0)</f>
        <v>0</v>
      </c>
      <c r="Y2" s="550">
        <v>43556</v>
      </c>
      <c r="Z2" t="s">
        <v>197</v>
      </c>
      <c r="AA2">
        <f>SUMIFS(レビュー管理!$O$11:$O$15,レビュー管理!$G$11:$G$15,ドキュメント指摘計測!Z2,レビュー管理!$J$11:$J$15,"&gt;="&amp;Y2,レビュー管理!$J$11:$J$15,"&lt;"&amp;EDATE(Y2,1))</f>
        <v>0</v>
      </c>
      <c r="AB2">
        <f>SUMIFS(レビュー管理!$AI$11:$AI$15,レビュー管理!$G$11:$G$15,ドキュメント指摘計測!Z2,レビュー管理!$J$11:$J$15,"&gt;="&amp;Y2,レビュー管理!$J$11:$J$15,"&lt;"&amp;EDATE(Y2,1))</f>
        <v>0</v>
      </c>
      <c r="AC2">
        <f t="shared" ref="AC2:AC13" si="4">IFERROR(AB2/AA2, 0)</f>
        <v>0</v>
      </c>
      <c r="AE2" s="550">
        <v>43556</v>
      </c>
      <c r="AF2" t="s">
        <v>142</v>
      </c>
      <c r="AG2">
        <f>SUMIFS(レビュー管理!$O$11:$O$15,レビュー管理!$G$11:$G$15,ドキュメント指摘計測!AF2,レビュー管理!$J$11:$J$15,"&gt;="&amp;AE2,レビュー管理!$J$11:$J$15,"&lt;"&amp;EDATE(AE2,1))</f>
        <v>0</v>
      </c>
      <c r="AH2">
        <f>SUMIFS(レビュー管理!$AI$11:$AI$15,レビュー管理!$G$11:$G$15,ドキュメント指摘計測!AF2,レビュー管理!$J$11:$J$15,"&gt;="&amp;AE2,レビュー管理!$J$11:$J$15,"&lt;"&amp;EDATE(AE2,1))</f>
        <v>0</v>
      </c>
      <c r="AI2">
        <f t="shared" ref="AI2:AI13" si="5">IFERROR(AH2/AG2, 0)</f>
        <v>0</v>
      </c>
      <c r="AK2" s="550">
        <v>43556</v>
      </c>
      <c r="AL2" t="s">
        <v>145</v>
      </c>
      <c r="AM2">
        <f>SUMIFS(レビュー管理!$O$11:$O$15,レビュー管理!$G$11:$G$15,ドキュメント指摘計測!AL2,レビュー管理!$J$11:$J$15,"&gt;="&amp;AK2,レビュー管理!$J$11:$J$15,"&lt;"&amp;EDATE(AK2,1))</f>
        <v>0</v>
      </c>
      <c r="AN2">
        <f>SUMIFS(レビュー管理!$AI$11:$AI$15,レビュー管理!$G$11:$G$15,ドキュメント指摘計測!AL2,レビュー管理!$J$11:$J$15,"&gt;="&amp;AK2,レビュー管理!$J$11:$J$15,"&lt;"&amp;EDATE(AK2,1))</f>
        <v>0</v>
      </c>
      <c r="AO2">
        <f t="shared" ref="AO2:AO13" si="6">IFERROR(AN2/AM2, 0)</f>
        <v>0</v>
      </c>
      <c r="AQ2" s="550">
        <v>43556</v>
      </c>
      <c r="AR2" t="s">
        <v>143</v>
      </c>
      <c r="AS2">
        <f>SUMIFS(レビュー管理!$O$11:$O$15,レビュー管理!$G$11:$G$15,ドキュメント指摘計測!AR2,レビュー管理!$J$11:$J$15,"&gt;="&amp;AQ2,レビュー管理!$J$11:$J$15,"&lt;"&amp;EDATE(AQ2,1))</f>
        <v>0</v>
      </c>
      <c r="AT2">
        <f>SUMIFS(レビュー管理!$AI$11:$AI$15,レビュー管理!$G$11:$G$15,ドキュメント指摘計測!AR2,レビュー管理!$J$11:$J$15,"&gt;="&amp;AQ2,レビュー管理!$J$11:$J$15,"&lt;"&amp;EDATE(AQ2,1))</f>
        <v>0</v>
      </c>
      <c r="AU2">
        <f t="shared" ref="AU2:AU13" si="7">IFERROR(AT2/AS2, 0)</f>
        <v>0</v>
      </c>
      <c r="AW2" s="550">
        <v>43556</v>
      </c>
      <c r="AX2" t="s">
        <v>146</v>
      </c>
      <c r="AY2">
        <f>SUMIFS(レビュー管理!$O$11:$O$15,レビュー管理!$G$11:$G$15,ドキュメント指摘計測!AX2,レビュー管理!$J$11:$J$15,"&gt;="&amp;AW2,レビュー管理!$J$11:$J$15,"&lt;"&amp;EDATE(AW2,1))</f>
        <v>0</v>
      </c>
      <c r="AZ2">
        <f>SUMIFS(レビュー管理!$AI$11:$AI$15,レビュー管理!$G$11:$G$15,ドキュメント指摘計測!AX2,レビュー管理!$J$11:$J$15,"&gt;="&amp;AW2,レビュー管理!$J$11:$J$15,"&lt;"&amp;EDATE(AW2,1))</f>
        <v>0</v>
      </c>
      <c r="BA2">
        <f t="shared" ref="BA2:BA13" si="8">IFERROR(AZ2/AY2, 0)</f>
        <v>0</v>
      </c>
      <c r="BC2" s="550">
        <v>43556</v>
      </c>
      <c r="BD2" t="s">
        <v>144</v>
      </c>
      <c r="BE2">
        <f>SUMIFS(レビュー管理!$O$11:$O$15,レビュー管理!$G$11:$G$15,ドキュメント指摘計測!BD2,レビュー管理!$J$11:$J$15,"&gt;="&amp;BC2,レビュー管理!$J$11:$J$15,"&lt;"&amp;EDATE(BC2,1))</f>
        <v>0</v>
      </c>
      <c r="BF2">
        <f>SUMIFS(レビュー管理!$AI$11:$AI$15,レビュー管理!$G$11:$G$15,ドキュメント指摘計測!BD2,レビュー管理!$J$11:$J$15,"&gt;="&amp;BC2,レビュー管理!$J$11:$J$15,"&lt;"&amp;EDATE(BC2,1))</f>
        <v>0</v>
      </c>
      <c r="BG2">
        <f t="shared" ref="BG2:BG13" si="9">IFERROR(BF2/BE2, 0)</f>
        <v>0</v>
      </c>
      <c r="BI2" s="550">
        <v>43556</v>
      </c>
      <c r="BJ2" t="s">
        <v>147</v>
      </c>
      <c r="BK2">
        <f>SUMIFS(レビュー管理!$O$11:$O$15,レビュー管理!$G$11:$G$15,ドキュメント指摘計測!BJ2,レビュー管理!$J$11:$J$15,"&gt;="&amp;BI2,レビュー管理!$J$11:$J$15,"&lt;"&amp;EDATE(BI2,1))</f>
        <v>0</v>
      </c>
      <c r="BL2">
        <f>SUMIFS(レビュー管理!$AI$11:$AI$15,レビュー管理!$G$11:$G$15,ドキュメント指摘計測!BJ2,レビュー管理!$J$11:$J$15,"&gt;="&amp;BI2,レビュー管理!$J$11:$J$15,"&lt;"&amp;EDATE(BI2,1))</f>
        <v>0</v>
      </c>
      <c r="BM2">
        <f t="shared" ref="BM2:BM13" si="10">IFERROR(BL2/BK2, 0)</f>
        <v>0</v>
      </c>
    </row>
    <row r="3" spans="1:65">
      <c r="A3" s="550">
        <v>43586</v>
      </c>
      <c r="B3" t="s">
        <v>198</v>
      </c>
      <c r="C3">
        <f>SUMIFS(レビュー管理!$O$11:$O$15,レビュー管理!$G$11:$G$15,ドキュメント指摘計測!B3,レビュー管理!$J$11:$J$15,"&gt;="&amp;A3,レビュー管理!$J$11:$J$15,"&lt;"&amp;EDATE(A3,1))</f>
        <v>0</v>
      </c>
      <c r="D3">
        <f>SUMIFS(レビュー管理!$AI$11:$AI$15,レビュー管理!$G$11:$G$15,ドキュメント指摘計測!B3,レビュー管理!$J$11:$J$15,"&gt;="&amp;A3,レビュー管理!$J$11:$J$15,"&lt;"&amp;EDATE(A3,1))</f>
        <v>0</v>
      </c>
      <c r="E3">
        <f t="shared" si="0"/>
        <v>0</v>
      </c>
      <c r="G3" s="550">
        <v>43586</v>
      </c>
      <c r="H3" t="s">
        <v>398</v>
      </c>
      <c r="I3">
        <f>SUMIFS(レビュー管理!$O$11:$O$15,レビュー管理!$G$11:$G$15,ドキュメント指摘計測!H3,レビュー管理!$J$11:$J$15,"&gt;="&amp;G3,レビュー管理!$J$11:$J$15,"&lt;"&amp;EDATE(G3,1))</f>
        <v>0</v>
      </c>
      <c r="J3">
        <f>SUMIFS(レビュー管理!$AI$11:$AI$15,レビュー管理!$G$11:$G$15,ドキュメント指摘計測!H3,レビュー管理!$J$11:$J$15,"&gt;="&amp;G3,レビュー管理!$J$11:$J$15,"&lt;"&amp;EDATE(G3,1))</f>
        <v>0</v>
      </c>
      <c r="K3">
        <f t="shared" si="1"/>
        <v>0</v>
      </c>
      <c r="M3" s="550">
        <v>43586</v>
      </c>
      <c r="N3" t="s">
        <v>140</v>
      </c>
      <c r="O3">
        <f>SUMIFS(レビュー管理!$O$11:$O$15,レビュー管理!$G$11:$G$15,ドキュメント指摘計測!N3,レビュー管理!$J$11:$J$15,"&gt;="&amp;M3,レビュー管理!$J$11:$J$15,"&lt;"&amp;EDATE(M3,1))</f>
        <v>0</v>
      </c>
      <c r="P3">
        <f>SUMIFS(レビュー管理!$AI$11:$AI$15,レビュー管理!$G$11:$G$15,ドキュメント指摘計測!N3,レビュー管理!$J$11:$J$15,"&gt;="&amp;M3,レビュー管理!$J$11:$J$15,"&lt;"&amp;EDATE(M3,1))</f>
        <v>0</v>
      </c>
      <c r="Q3">
        <f t="shared" si="2"/>
        <v>0</v>
      </c>
      <c r="S3" s="550">
        <v>43586</v>
      </c>
      <c r="T3" t="s">
        <v>141</v>
      </c>
      <c r="U3">
        <f>SUMIFS(レビュー管理!$O$11:$O$15,レビュー管理!$G$11:$G$15,ドキュメント指摘計測!T3,レビュー管理!$J$11:$J$15,"&gt;="&amp;S3,レビュー管理!$J$11:$J$15,"&lt;"&amp;EDATE(S3,1))</f>
        <v>0</v>
      </c>
      <c r="V3">
        <f>SUMIFS(レビュー管理!$AI$11:$AI$15,レビュー管理!$G$11:$G$15,ドキュメント指摘計測!T3,レビュー管理!$J$11:$J$15,"&gt;="&amp;S3,レビュー管理!$J$11:$J$15,"&lt;"&amp;EDATE(S3,1))</f>
        <v>0</v>
      </c>
      <c r="W3">
        <f t="shared" si="3"/>
        <v>0</v>
      </c>
      <c r="Y3" s="550">
        <v>43586</v>
      </c>
      <c r="Z3" t="s">
        <v>197</v>
      </c>
      <c r="AA3">
        <f>SUMIFS(レビュー管理!$O$11:$O$15,レビュー管理!$G$11:$G$15,ドキュメント指摘計測!Z3,レビュー管理!$J$11:$J$15,"&gt;="&amp;Y3,レビュー管理!$J$11:$J$15,"&lt;"&amp;EDATE(Y3,1))</f>
        <v>0</v>
      </c>
      <c r="AB3">
        <f>SUMIFS(レビュー管理!$AI$11:$AI$15,レビュー管理!$G$11:$G$15,ドキュメント指摘計測!Z3,レビュー管理!$J$11:$J$15,"&gt;="&amp;Y3,レビュー管理!$J$11:$J$15,"&lt;"&amp;EDATE(Y3,1))</f>
        <v>0</v>
      </c>
      <c r="AC3">
        <f t="shared" si="4"/>
        <v>0</v>
      </c>
      <c r="AE3" s="550">
        <v>43586</v>
      </c>
      <c r="AF3" t="s">
        <v>142</v>
      </c>
      <c r="AG3">
        <f>SUMIFS(レビュー管理!$O$11:$O$15,レビュー管理!$G$11:$G$15,ドキュメント指摘計測!AF3,レビュー管理!$J$11:$J$15,"&gt;="&amp;AE3,レビュー管理!$J$11:$J$15,"&lt;"&amp;EDATE(AE3,1))</f>
        <v>0</v>
      </c>
      <c r="AH3">
        <f>SUMIFS(レビュー管理!$AI$11:$AI$15,レビュー管理!$G$11:$G$15,ドキュメント指摘計測!AF3,レビュー管理!$J$11:$J$15,"&gt;="&amp;AE3,レビュー管理!$J$11:$J$15,"&lt;"&amp;EDATE(AE3,1))</f>
        <v>0</v>
      </c>
      <c r="AI3">
        <f t="shared" si="5"/>
        <v>0</v>
      </c>
      <c r="AK3" s="550">
        <v>43586</v>
      </c>
      <c r="AL3" t="s">
        <v>145</v>
      </c>
      <c r="AM3">
        <f>SUMIFS(レビュー管理!$O$11:$O$15,レビュー管理!$G$11:$G$15,ドキュメント指摘計測!AL3,レビュー管理!$J$11:$J$15,"&gt;="&amp;AK3,レビュー管理!$J$11:$J$15,"&lt;"&amp;EDATE(AK3,1))</f>
        <v>0</v>
      </c>
      <c r="AN3">
        <f>SUMIFS(レビュー管理!$AI$11:$AI$15,レビュー管理!$G$11:$G$15,ドキュメント指摘計測!AL3,レビュー管理!$J$11:$J$15,"&gt;="&amp;AK3,レビュー管理!$J$11:$J$15,"&lt;"&amp;EDATE(AK3,1))</f>
        <v>0</v>
      </c>
      <c r="AO3">
        <f t="shared" si="6"/>
        <v>0</v>
      </c>
      <c r="AQ3" s="550">
        <v>43586</v>
      </c>
      <c r="AR3" t="s">
        <v>143</v>
      </c>
      <c r="AS3">
        <f>SUMIFS(レビュー管理!$O$11:$O$15,レビュー管理!$G$11:$G$15,ドキュメント指摘計測!AR3,レビュー管理!$J$11:$J$15,"&gt;="&amp;AQ3,レビュー管理!$J$11:$J$15,"&lt;"&amp;EDATE(AQ3,1))</f>
        <v>0</v>
      </c>
      <c r="AT3">
        <f>SUMIFS(レビュー管理!$AI$11:$AI$15,レビュー管理!$G$11:$G$15,ドキュメント指摘計測!AR3,レビュー管理!$J$11:$J$15,"&gt;="&amp;AQ3,レビュー管理!$J$11:$J$15,"&lt;"&amp;EDATE(AQ3,1))</f>
        <v>0</v>
      </c>
      <c r="AU3">
        <f t="shared" si="7"/>
        <v>0</v>
      </c>
      <c r="AW3" s="550">
        <v>43586</v>
      </c>
      <c r="AX3" t="s">
        <v>146</v>
      </c>
      <c r="AY3">
        <f>SUMIFS(レビュー管理!$O$11:$O$15,レビュー管理!$G$11:$G$15,ドキュメント指摘計測!AX3,レビュー管理!$J$11:$J$15,"&gt;="&amp;AW3,レビュー管理!$J$11:$J$15,"&lt;"&amp;EDATE(AW3,1))</f>
        <v>0</v>
      </c>
      <c r="AZ3">
        <f>SUMIFS(レビュー管理!$AI$11:$AI$15,レビュー管理!$G$11:$G$15,ドキュメント指摘計測!AX3,レビュー管理!$J$11:$J$15,"&gt;="&amp;AW3,レビュー管理!$J$11:$J$15,"&lt;"&amp;EDATE(AW3,1))</f>
        <v>0</v>
      </c>
      <c r="BA3">
        <f t="shared" si="8"/>
        <v>0</v>
      </c>
      <c r="BC3" s="550">
        <v>43586</v>
      </c>
      <c r="BD3" t="s">
        <v>144</v>
      </c>
      <c r="BE3">
        <f>SUMIFS(レビュー管理!$O$11:$O$15,レビュー管理!$G$11:$G$15,ドキュメント指摘計測!BD3,レビュー管理!$J$11:$J$15,"&gt;="&amp;BC3,レビュー管理!$J$11:$J$15,"&lt;"&amp;EDATE(BC3,1))</f>
        <v>0</v>
      </c>
      <c r="BF3">
        <f>SUMIFS(レビュー管理!$AI$11:$AI$15,レビュー管理!$G$11:$G$15,ドキュメント指摘計測!BD3,レビュー管理!$J$11:$J$15,"&gt;="&amp;BC3,レビュー管理!$J$11:$J$15,"&lt;"&amp;EDATE(BC3,1))</f>
        <v>0</v>
      </c>
      <c r="BG3">
        <f t="shared" si="9"/>
        <v>0</v>
      </c>
      <c r="BI3" s="550">
        <v>43586</v>
      </c>
      <c r="BJ3" t="s">
        <v>147</v>
      </c>
      <c r="BK3">
        <f>SUMIFS(レビュー管理!$O$11:$O$15,レビュー管理!$G$11:$G$15,ドキュメント指摘計測!BJ3,レビュー管理!$J$11:$J$15,"&gt;="&amp;BI3,レビュー管理!$J$11:$J$15,"&lt;"&amp;EDATE(BI3,1))</f>
        <v>0</v>
      </c>
      <c r="BL3">
        <f>SUMIFS(レビュー管理!$AI$11:$AI$15,レビュー管理!$G$11:$G$15,ドキュメント指摘計測!BJ3,レビュー管理!$J$11:$J$15,"&gt;="&amp;BI3,レビュー管理!$J$11:$J$15,"&lt;"&amp;EDATE(BI3,1))</f>
        <v>0</v>
      </c>
      <c r="BM3">
        <f t="shared" si="10"/>
        <v>0</v>
      </c>
    </row>
    <row r="4" spans="1:65">
      <c r="A4" s="550">
        <v>43617</v>
      </c>
      <c r="B4" t="s">
        <v>198</v>
      </c>
      <c r="C4">
        <f>SUMIFS(レビュー管理!$O$11:$O$15,レビュー管理!$G$11:$G$15,ドキュメント指摘計測!B4,レビュー管理!$J$11:$J$15,"&gt;="&amp;A4,レビュー管理!$J$11:$J$15,"&lt;"&amp;EDATE(A4,1))</f>
        <v>0</v>
      </c>
      <c r="D4">
        <f>SUMIFS(レビュー管理!$AI$11:$AI$15,レビュー管理!$G$11:$G$15,ドキュメント指摘計測!B4,レビュー管理!$J$11:$J$15,"&gt;="&amp;A4,レビュー管理!$J$11:$J$15,"&lt;"&amp;EDATE(A4,1))</f>
        <v>0</v>
      </c>
      <c r="E4">
        <f t="shared" si="0"/>
        <v>0</v>
      </c>
      <c r="G4" s="550">
        <v>43617</v>
      </c>
      <c r="H4" t="s">
        <v>398</v>
      </c>
      <c r="I4">
        <f>SUMIFS(レビュー管理!$O$11:$O$15,レビュー管理!$G$11:$G$15,ドキュメント指摘計測!H4,レビュー管理!$J$11:$J$15,"&gt;="&amp;G4,レビュー管理!$J$11:$J$15,"&lt;"&amp;EDATE(G4,1))</f>
        <v>0</v>
      </c>
      <c r="J4">
        <f>SUMIFS(レビュー管理!$AI$11:$AI$15,レビュー管理!$G$11:$G$15,ドキュメント指摘計測!H4,レビュー管理!$J$11:$J$15,"&gt;="&amp;G4,レビュー管理!$J$11:$J$15,"&lt;"&amp;EDATE(G4,1))</f>
        <v>0</v>
      </c>
      <c r="K4">
        <f t="shared" si="1"/>
        <v>0</v>
      </c>
      <c r="M4" s="550">
        <v>43617</v>
      </c>
      <c r="N4" t="s">
        <v>140</v>
      </c>
      <c r="O4">
        <f>SUMIFS(レビュー管理!$O$11:$O$15,レビュー管理!$G$11:$G$15,ドキュメント指摘計測!N4,レビュー管理!$J$11:$J$15,"&gt;="&amp;M4,レビュー管理!$J$11:$J$15,"&lt;"&amp;EDATE(M4,1))</f>
        <v>0</v>
      </c>
      <c r="P4">
        <f>SUMIFS(レビュー管理!$AI$11:$AI$15,レビュー管理!$G$11:$G$15,ドキュメント指摘計測!N4,レビュー管理!$J$11:$J$15,"&gt;="&amp;M4,レビュー管理!$J$11:$J$15,"&lt;"&amp;EDATE(M4,1))</f>
        <v>0</v>
      </c>
      <c r="Q4">
        <f t="shared" si="2"/>
        <v>0</v>
      </c>
      <c r="S4" s="550">
        <v>43617</v>
      </c>
      <c r="T4" t="s">
        <v>141</v>
      </c>
      <c r="U4">
        <f>SUMIFS(レビュー管理!$O$11:$O$15,レビュー管理!$G$11:$G$15,ドキュメント指摘計測!T4,レビュー管理!$J$11:$J$15,"&gt;="&amp;S4,レビュー管理!$J$11:$J$15,"&lt;"&amp;EDATE(S4,1))</f>
        <v>0</v>
      </c>
      <c r="V4">
        <f>SUMIFS(レビュー管理!$AI$11:$AI$15,レビュー管理!$G$11:$G$15,ドキュメント指摘計測!T4,レビュー管理!$J$11:$J$15,"&gt;="&amp;S4,レビュー管理!$J$11:$J$15,"&lt;"&amp;EDATE(S4,1))</f>
        <v>0</v>
      </c>
      <c r="W4">
        <f t="shared" si="3"/>
        <v>0</v>
      </c>
      <c r="Y4" s="550">
        <v>43617</v>
      </c>
      <c r="Z4" t="s">
        <v>197</v>
      </c>
      <c r="AA4">
        <f>SUMIFS(レビュー管理!$O$11:$O$15,レビュー管理!$G$11:$G$15,ドキュメント指摘計測!Z4,レビュー管理!$J$11:$J$15,"&gt;="&amp;Y4,レビュー管理!$J$11:$J$15,"&lt;"&amp;EDATE(Y4,1))</f>
        <v>0</v>
      </c>
      <c r="AB4">
        <f>SUMIFS(レビュー管理!$AI$11:$AI$15,レビュー管理!$G$11:$G$15,ドキュメント指摘計測!Z4,レビュー管理!$J$11:$J$15,"&gt;="&amp;Y4,レビュー管理!$J$11:$J$15,"&lt;"&amp;EDATE(Y4,1))</f>
        <v>0</v>
      </c>
      <c r="AC4">
        <f t="shared" si="4"/>
        <v>0</v>
      </c>
      <c r="AE4" s="550">
        <v>43617</v>
      </c>
      <c r="AF4" t="s">
        <v>142</v>
      </c>
      <c r="AG4">
        <f>SUMIFS(レビュー管理!$O$11:$O$15,レビュー管理!$G$11:$G$15,ドキュメント指摘計測!AF4,レビュー管理!$J$11:$J$15,"&gt;="&amp;AE4,レビュー管理!$J$11:$J$15,"&lt;"&amp;EDATE(AE4,1))</f>
        <v>0</v>
      </c>
      <c r="AH4">
        <f>SUMIFS(レビュー管理!$AI$11:$AI$15,レビュー管理!$G$11:$G$15,ドキュメント指摘計測!AF4,レビュー管理!$J$11:$J$15,"&gt;="&amp;AE4,レビュー管理!$J$11:$J$15,"&lt;"&amp;EDATE(AE4,1))</f>
        <v>0</v>
      </c>
      <c r="AI4">
        <f t="shared" si="5"/>
        <v>0</v>
      </c>
      <c r="AK4" s="550">
        <v>43617</v>
      </c>
      <c r="AL4" t="s">
        <v>145</v>
      </c>
      <c r="AM4">
        <f>SUMIFS(レビュー管理!$O$11:$O$15,レビュー管理!$G$11:$G$15,ドキュメント指摘計測!AL4,レビュー管理!$J$11:$J$15,"&gt;="&amp;AK4,レビュー管理!$J$11:$J$15,"&lt;"&amp;EDATE(AK4,1))</f>
        <v>0</v>
      </c>
      <c r="AN4">
        <f>SUMIFS(レビュー管理!$AI$11:$AI$15,レビュー管理!$G$11:$G$15,ドキュメント指摘計測!AL4,レビュー管理!$J$11:$J$15,"&gt;="&amp;AK4,レビュー管理!$J$11:$J$15,"&lt;"&amp;EDATE(AK4,1))</f>
        <v>0</v>
      </c>
      <c r="AO4">
        <f t="shared" si="6"/>
        <v>0</v>
      </c>
      <c r="AQ4" s="550">
        <v>43617</v>
      </c>
      <c r="AR4" t="s">
        <v>143</v>
      </c>
      <c r="AS4">
        <f>SUMIFS(レビュー管理!$O$11:$O$15,レビュー管理!$G$11:$G$15,ドキュメント指摘計測!AR4,レビュー管理!$J$11:$J$15,"&gt;="&amp;AQ4,レビュー管理!$J$11:$J$15,"&lt;"&amp;EDATE(AQ4,1))</f>
        <v>0</v>
      </c>
      <c r="AT4">
        <f>SUMIFS(レビュー管理!$AI$11:$AI$15,レビュー管理!$G$11:$G$15,ドキュメント指摘計測!AR4,レビュー管理!$J$11:$J$15,"&gt;="&amp;AQ4,レビュー管理!$J$11:$J$15,"&lt;"&amp;EDATE(AQ4,1))</f>
        <v>0</v>
      </c>
      <c r="AU4">
        <f t="shared" si="7"/>
        <v>0</v>
      </c>
      <c r="AW4" s="550">
        <v>43617</v>
      </c>
      <c r="AX4" t="s">
        <v>146</v>
      </c>
      <c r="AY4">
        <f>SUMIFS(レビュー管理!$O$11:$O$15,レビュー管理!$G$11:$G$15,ドキュメント指摘計測!AX4,レビュー管理!$J$11:$J$15,"&gt;="&amp;AW4,レビュー管理!$J$11:$J$15,"&lt;"&amp;EDATE(AW4,1))</f>
        <v>0</v>
      </c>
      <c r="AZ4">
        <f>SUMIFS(レビュー管理!$AI$11:$AI$15,レビュー管理!$G$11:$G$15,ドキュメント指摘計測!AX4,レビュー管理!$J$11:$J$15,"&gt;="&amp;AW4,レビュー管理!$J$11:$J$15,"&lt;"&amp;EDATE(AW4,1))</f>
        <v>0</v>
      </c>
      <c r="BA4">
        <f t="shared" si="8"/>
        <v>0</v>
      </c>
      <c r="BC4" s="550">
        <v>43617</v>
      </c>
      <c r="BD4" t="s">
        <v>144</v>
      </c>
      <c r="BE4">
        <f>SUMIFS(レビュー管理!$O$11:$O$15,レビュー管理!$G$11:$G$15,ドキュメント指摘計測!BD4,レビュー管理!$J$11:$J$15,"&gt;="&amp;BC4,レビュー管理!$J$11:$J$15,"&lt;"&amp;EDATE(BC4,1))</f>
        <v>0</v>
      </c>
      <c r="BF4">
        <f>SUMIFS(レビュー管理!$AI$11:$AI$15,レビュー管理!$G$11:$G$15,ドキュメント指摘計測!BD4,レビュー管理!$J$11:$J$15,"&gt;="&amp;BC4,レビュー管理!$J$11:$J$15,"&lt;"&amp;EDATE(BC4,1))</f>
        <v>0</v>
      </c>
      <c r="BG4">
        <f t="shared" si="9"/>
        <v>0</v>
      </c>
      <c r="BI4" s="550">
        <v>43617</v>
      </c>
      <c r="BJ4" t="s">
        <v>147</v>
      </c>
      <c r="BK4">
        <f>SUMIFS(レビュー管理!$O$11:$O$15,レビュー管理!$G$11:$G$15,ドキュメント指摘計測!BJ4,レビュー管理!$J$11:$J$15,"&gt;="&amp;BI4,レビュー管理!$J$11:$J$15,"&lt;"&amp;EDATE(BI4,1))</f>
        <v>0</v>
      </c>
      <c r="BL4">
        <f>SUMIFS(レビュー管理!$AI$11:$AI$15,レビュー管理!$G$11:$G$15,ドキュメント指摘計測!BJ4,レビュー管理!$J$11:$J$15,"&gt;="&amp;BI4,レビュー管理!$J$11:$J$15,"&lt;"&amp;EDATE(BI4,1))</f>
        <v>0</v>
      </c>
      <c r="BM4">
        <f t="shared" si="10"/>
        <v>0</v>
      </c>
    </row>
    <row r="5" spans="1:65">
      <c r="A5" s="550">
        <v>43647</v>
      </c>
      <c r="B5" t="s">
        <v>198</v>
      </c>
      <c r="C5">
        <f>SUMIFS(レビュー管理!$O$11:$O$15,レビュー管理!$G$11:$G$15,ドキュメント指摘計測!B5,レビュー管理!$J$11:$J$15,"&gt;="&amp;A5,レビュー管理!$J$11:$J$15,"&lt;"&amp;EDATE(A5,1))</f>
        <v>0</v>
      </c>
      <c r="D5">
        <f>SUMIFS(レビュー管理!$AI$11:$AI$15,レビュー管理!$G$11:$G$15,ドキュメント指摘計測!B5,レビュー管理!$J$11:$J$15,"&gt;="&amp;A5,レビュー管理!$J$11:$J$15,"&lt;"&amp;EDATE(A5,1))</f>
        <v>0</v>
      </c>
      <c r="E5">
        <f t="shared" si="0"/>
        <v>0</v>
      </c>
      <c r="G5" s="550">
        <v>43647</v>
      </c>
      <c r="H5" t="s">
        <v>398</v>
      </c>
      <c r="I5">
        <f>SUMIFS(レビュー管理!$O$11:$O$15,レビュー管理!$G$11:$G$15,ドキュメント指摘計測!H5,レビュー管理!$J$11:$J$15,"&gt;="&amp;G5,レビュー管理!$J$11:$J$15,"&lt;"&amp;EDATE(G5,1))</f>
        <v>0</v>
      </c>
      <c r="J5">
        <f>SUMIFS(レビュー管理!$AI$11:$AI$15,レビュー管理!$G$11:$G$15,ドキュメント指摘計測!H5,レビュー管理!$J$11:$J$15,"&gt;="&amp;G5,レビュー管理!$J$11:$J$15,"&lt;"&amp;EDATE(G5,1))</f>
        <v>0</v>
      </c>
      <c r="K5">
        <f t="shared" si="1"/>
        <v>0</v>
      </c>
      <c r="M5" s="550">
        <v>43647</v>
      </c>
      <c r="N5" t="s">
        <v>140</v>
      </c>
      <c r="O5">
        <f>SUMIFS(レビュー管理!$O$11:$O$15,レビュー管理!$G$11:$G$15,ドキュメント指摘計測!N5,レビュー管理!$J$11:$J$15,"&gt;="&amp;M5,レビュー管理!$J$11:$J$15,"&lt;"&amp;EDATE(M5,1))</f>
        <v>0</v>
      </c>
      <c r="P5">
        <f>SUMIFS(レビュー管理!$AI$11:$AI$15,レビュー管理!$G$11:$G$15,ドキュメント指摘計測!N5,レビュー管理!$J$11:$J$15,"&gt;="&amp;M5,レビュー管理!$J$11:$J$15,"&lt;"&amp;EDATE(M5,1))</f>
        <v>0</v>
      </c>
      <c r="Q5">
        <f t="shared" si="2"/>
        <v>0</v>
      </c>
      <c r="S5" s="550">
        <v>43647</v>
      </c>
      <c r="T5" t="s">
        <v>141</v>
      </c>
      <c r="U5">
        <f>SUMIFS(レビュー管理!$O$11:$O$15,レビュー管理!$G$11:$G$15,ドキュメント指摘計測!T5,レビュー管理!$J$11:$J$15,"&gt;="&amp;S5,レビュー管理!$J$11:$J$15,"&lt;"&amp;EDATE(S5,1))</f>
        <v>0</v>
      </c>
      <c r="V5">
        <f>SUMIFS(レビュー管理!$AI$11:$AI$15,レビュー管理!$G$11:$G$15,ドキュメント指摘計測!T5,レビュー管理!$J$11:$J$15,"&gt;="&amp;S5,レビュー管理!$J$11:$J$15,"&lt;"&amp;EDATE(S5,1))</f>
        <v>0</v>
      </c>
      <c r="W5">
        <f t="shared" si="3"/>
        <v>0</v>
      </c>
      <c r="Y5" s="550">
        <v>43647</v>
      </c>
      <c r="Z5" t="s">
        <v>197</v>
      </c>
      <c r="AA5">
        <f>SUMIFS(レビュー管理!$O$11:$O$15,レビュー管理!$G$11:$G$15,ドキュメント指摘計測!Z5,レビュー管理!$J$11:$J$15,"&gt;="&amp;Y5,レビュー管理!$J$11:$J$15,"&lt;"&amp;EDATE(Y5,1))</f>
        <v>0</v>
      </c>
      <c r="AB5">
        <f>SUMIFS(レビュー管理!$AI$11:$AI$15,レビュー管理!$G$11:$G$15,ドキュメント指摘計測!Z5,レビュー管理!$J$11:$J$15,"&gt;="&amp;Y5,レビュー管理!$J$11:$J$15,"&lt;"&amp;EDATE(Y5,1))</f>
        <v>0</v>
      </c>
      <c r="AC5">
        <f t="shared" si="4"/>
        <v>0</v>
      </c>
      <c r="AE5" s="550">
        <v>43647</v>
      </c>
      <c r="AF5" t="s">
        <v>142</v>
      </c>
      <c r="AG5">
        <f>SUMIFS(レビュー管理!$O$11:$O$15,レビュー管理!$G$11:$G$15,ドキュメント指摘計測!AF5,レビュー管理!$J$11:$J$15,"&gt;="&amp;AE5,レビュー管理!$J$11:$J$15,"&lt;"&amp;EDATE(AE5,1))</f>
        <v>0</v>
      </c>
      <c r="AH5">
        <f>SUMIFS(レビュー管理!$AI$11:$AI$15,レビュー管理!$G$11:$G$15,ドキュメント指摘計測!AF5,レビュー管理!$J$11:$J$15,"&gt;="&amp;AE5,レビュー管理!$J$11:$J$15,"&lt;"&amp;EDATE(AE5,1))</f>
        <v>0</v>
      </c>
      <c r="AI5">
        <f t="shared" si="5"/>
        <v>0</v>
      </c>
      <c r="AK5" s="550">
        <v>43647</v>
      </c>
      <c r="AL5" t="s">
        <v>145</v>
      </c>
      <c r="AM5">
        <f>SUMIFS(レビュー管理!$O$11:$O$15,レビュー管理!$G$11:$G$15,ドキュメント指摘計測!AL5,レビュー管理!$J$11:$J$15,"&gt;="&amp;AK5,レビュー管理!$J$11:$J$15,"&lt;"&amp;EDATE(AK5,1))</f>
        <v>0</v>
      </c>
      <c r="AN5">
        <f>SUMIFS(レビュー管理!$AI$11:$AI$15,レビュー管理!$G$11:$G$15,ドキュメント指摘計測!AL5,レビュー管理!$J$11:$J$15,"&gt;="&amp;AK5,レビュー管理!$J$11:$J$15,"&lt;"&amp;EDATE(AK5,1))</f>
        <v>0</v>
      </c>
      <c r="AO5">
        <f t="shared" si="6"/>
        <v>0</v>
      </c>
      <c r="AQ5" s="550">
        <v>43647</v>
      </c>
      <c r="AR5" t="s">
        <v>143</v>
      </c>
      <c r="AS5">
        <f>SUMIFS(レビュー管理!$O$11:$O$15,レビュー管理!$G$11:$G$15,ドキュメント指摘計測!AR5,レビュー管理!$J$11:$J$15,"&gt;="&amp;AQ5,レビュー管理!$J$11:$J$15,"&lt;"&amp;EDATE(AQ5,1))</f>
        <v>0</v>
      </c>
      <c r="AT5">
        <f>SUMIFS(レビュー管理!$AI$11:$AI$15,レビュー管理!$G$11:$G$15,ドキュメント指摘計測!AR5,レビュー管理!$J$11:$J$15,"&gt;="&amp;AQ5,レビュー管理!$J$11:$J$15,"&lt;"&amp;EDATE(AQ5,1))</f>
        <v>0</v>
      </c>
      <c r="AU5">
        <f t="shared" si="7"/>
        <v>0</v>
      </c>
      <c r="AW5" s="550">
        <v>43647</v>
      </c>
      <c r="AX5" t="s">
        <v>146</v>
      </c>
      <c r="AY5">
        <f>SUMIFS(レビュー管理!$O$11:$O$15,レビュー管理!$G$11:$G$15,ドキュメント指摘計測!AX5,レビュー管理!$J$11:$J$15,"&gt;="&amp;AW5,レビュー管理!$J$11:$J$15,"&lt;"&amp;EDATE(AW5,1))</f>
        <v>0</v>
      </c>
      <c r="AZ5">
        <f>SUMIFS(レビュー管理!$AI$11:$AI$15,レビュー管理!$G$11:$G$15,ドキュメント指摘計測!AX5,レビュー管理!$J$11:$J$15,"&gt;="&amp;AW5,レビュー管理!$J$11:$J$15,"&lt;"&amp;EDATE(AW5,1))</f>
        <v>0</v>
      </c>
      <c r="BA5">
        <f t="shared" si="8"/>
        <v>0</v>
      </c>
      <c r="BC5" s="550">
        <v>43647</v>
      </c>
      <c r="BD5" t="s">
        <v>144</v>
      </c>
      <c r="BE5">
        <f>SUMIFS(レビュー管理!$O$11:$O$15,レビュー管理!$G$11:$G$15,ドキュメント指摘計測!BD5,レビュー管理!$J$11:$J$15,"&gt;="&amp;BC5,レビュー管理!$J$11:$J$15,"&lt;"&amp;EDATE(BC5,1))</f>
        <v>0</v>
      </c>
      <c r="BF5">
        <f>SUMIFS(レビュー管理!$AI$11:$AI$15,レビュー管理!$G$11:$G$15,ドキュメント指摘計測!BD5,レビュー管理!$J$11:$J$15,"&gt;="&amp;BC5,レビュー管理!$J$11:$J$15,"&lt;"&amp;EDATE(BC5,1))</f>
        <v>0</v>
      </c>
      <c r="BG5">
        <f t="shared" si="9"/>
        <v>0</v>
      </c>
      <c r="BI5" s="550">
        <v>43647</v>
      </c>
      <c r="BJ5" t="s">
        <v>147</v>
      </c>
      <c r="BK5">
        <f>SUMIFS(レビュー管理!$O$11:$O$15,レビュー管理!$G$11:$G$15,ドキュメント指摘計測!BJ5,レビュー管理!$J$11:$J$15,"&gt;="&amp;BI5,レビュー管理!$J$11:$J$15,"&lt;"&amp;EDATE(BI5,1))</f>
        <v>0</v>
      </c>
      <c r="BL5">
        <f>SUMIFS(レビュー管理!$AI$11:$AI$15,レビュー管理!$G$11:$G$15,ドキュメント指摘計測!BJ5,レビュー管理!$J$11:$J$15,"&gt;="&amp;BI5,レビュー管理!$J$11:$J$15,"&lt;"&amp;EDATE(BI5,1))</f>
        <v>0</v>
      </c>
      <c r="BM5">
        <f t="shared" si="10"/>
        <v>0</v>
      </c>
    </row>
    <row r="6" spans="1:65">
      <c r="A6" s="550">
        <v>43678</v>
      </c>
      <c r="B6" t="s">
        <v>198</v>
      </c>
      <c r="C6">
        <f>SUMIFS(レビュー管理!$O$11:$O$15,レビュー管理!$G$11:$G$15,ドキュメント指摘計測!B6,レビュー管理!$J$11:$J$15,"&gt;="&amp;A6,レビュー管理!$J$11:$J$15,"&lt;"&amp;EDATE(A6,1))</f>
        <v>0</v>
      </c>
      <c r="D6">
        <f>SUMIFS(レビュー管理!$AI$11:$AI$15,レビュー管理!$G$11:$G$15,ドキュメント指摘計測!B6,レビュー管理!$J$11:$J$15,"&gt;="&amp;A6,レビュー管理!$J$11:$J$15,"&lt;"&amp;EDATE(A6,1))</f>
        <v>0</v>
      </c>
      <c r="E6">
        <f t="shared" si="0"/>
        <v>0</v>
      </c>
      <c r="G6" s="550">
        <v>43678</v>
      </c>
      <c r="H6" t="s">
        <v>398</v>
      </c>
      <c r="I6">
        <f>SUMIFS(レビュー管理!$O$11:$O$15,レビュー管理!$G$11:$G$15,ドキュメント指摘計測!H6,レビュー管理!$J$11:$J$15,"&gt;="&amp;G6,レビュー管理!$J$11:$J$15,"&lt;"&amp;EDATE(G6,1))</f>
        <v>0</v>
      </c>
      <c r="J6">
        <f>SUMIFS(レビュー管理!$AI$11:$AI$15,レビュー管理!$G$11:$G$15,ドキュメント指摘計測!H6,レビュー管理!$J$11:$J$15,"&gt;="&amp;G6,レビュー管理!$J$11:$J$15,"&lt;"&amp;EDATE(G6,1))</f>
        <v>0</v>
      </c>
      <c r="K6">
        <f t="shared" si="1"/>
        <v>0</v>
      </c>
      <c r="M6" s="550">
        <v>43678</v>
      </c>
      <c r="N6" t="s">
        <v>140</v>
      </c>
      <c r="O6">
        <f>SUMIFS(レビュー管理!$O$11:$O$15,レビュー管理!$G$11:$G$15,ドキュメント指摘計測!N6,レビュー管理!$J$11:$J$15,"&gt;="&amp;M6,レビュー管理!$J$11:$J$15,"&lt;"&amp;EDATE(M6,1))</f>
        <v>0</v>
      </c>
      <c r="P6">
        <f>SUMIFS(レビュー管理!$AI$11:$AI$15,レビュー管理!$G$11:$G$15,ドキュメント指摘計測!N6,レビュー管理!$J$11:$J$15,"&gt;="&amp;M6,レビュー管理!$J$11:$J$15,"&lt;"&amp;EDATE(M6,1))</f>
        <v>0</v>
      </c>
      <c r="Q6">
        <f t="shared" si="2"/>
        <v>0</v>
      </c>
      <c r="S6" s="550">
        <v>43678</v>
      </c>
      <c r="T6" t="s">
        <v>141</v>
      </c>
      <c r="U6">
        <f>SUMIFS(レビュー管理!$O$11:$O$15,レビュー管理!$G$11:$G$15,ドキュメント指摘計測!T6,レビュー管理!$J$11:$J$15,"&gt;="&amp;S6,レビュー管理!$J$11:$J$15,"&lt;"&amp;EDATE(S6,1))</f>
        <v>0</v>
      </c>
      <c r="V6">
        <f>SUMIFS(レビュー管理!$AI$11:$AI$15,レビュー管理!$G$11:$G$15,ドキュメント指摘計測!T6,レビュー管理!$J$11:$J$15,"&gt;="&amp;S6,レビュー管理!$J$11:$J$15,"&lt;"&amp;EDATE(S6,1))</f>
        <v>0</v>
      </c>
      <c r="W6">
        <f t="shared" si="3"/>
        <v>0</v>
      </c>
      <c r="Y6" s="550">
        <v>43678</v>
      </c>
      <c r="Z6" t="s">
        <v>197</v>
      </c>
      <c r="AA6">
        <f>SUMIFS(レビュー管理!$O$11:$O$15,レビュー管理!$G$11:$G$15,ドキュメント指摘計測!Z6,レビュー管理!$J$11:$J$15,"&gt;="&amp;Y6,レビュー管理!$J$11:$J$15,"&lt;"&amp;EDATE(Y6,1))</f>
        <v>0</v>
      </c>
      <c r="AB6">
        <f>SUMIFS(レビュー管理!$AI$11:$AI$15,レビュー管理!$G$11:$G$15,ドキュメント指摘計測!Z6,レビュー管理!$J$11:$J$15,"&gt;="&amp;Y6,レビュー管理!$J$11:$J$15,"&lt;"&amp;EDATE(Y6,1))</f>
        <v>0</v>
      </c>
      <c r="AC6">
        <f t="shared" si="4"/>
        <v>0</v>
      </c>
      <c r="AE6" s="550">
        <v>43678</v>
      </c>
      <c r="AF6" t="s">
        <v>142</v>
      </c>
      <c r="AG6">
        <f>SUMIFS(レビュー管理!$O$11:$O$15,レビュー管理!$G$11:$G$15,ドキュメント指摘計測!AF6,レビュー管理!$J$11:$J$15,"&gt;="&amp;AE6,レビュー管理!$J$11:$J$15,"&lt;"&amp;EDATE(AE6,1))</f>
        <v>0</v>
      </c>
      <c r="AH6">
        <f>SUMIFS(レビュー管理!$AI$11:$AI$15,レビュー管理!$G$11:$G$15,ドキュメント指摘計測!AF6,レビュー管理!$J$11:$J$15,"&gt;="&amp;AE6,レビュー管理!$J$11:$J$15,"&lt;"&amp;EDATE(AE6,1))</f>
        <v>0</v>
      </c>
      <c r="AI6">
        <f t="shared" si="5"/>
        <v>0</v>
      </c>
      <c r="AK6" s="550">
        <v>43678</v>
      </c>
      <c r="AL6" t="s">
        <v>145</v>
      </c>
      <c r="AM6">
        <f>SUMIFS(レビュー管理!$O$11:$O$15,レビュー管理!$G$11:$G$15,ドキュメント指摘計測!AL6,レビュー管理!$J$11:$J$15,"&gt;="&amp;AK6,レビュー管理!$J$11:$J$15,"&lt;"&amp;EDATE(AK6,1))</f>
        <v>0</v>
      </c>
      <c r="AN6">
        <f>SUMIFS(レビュー管理!$AI$11:$AI$15,レビュー管理!$G$11:$G$15,ドキュメント指摘計測!AL6,レビュー管理!$J$11:$J$15,"&gt;="&amp;AK6,レビュー管理!$J$11:$J$15,"&lt;"&amp;EDATE(AK6,1))</f>
        <v>0</v>
      </c>
      <c r="AO6">
        <f t="shared" si="6"/>
        <v>0</v>
      </c>
      <c r="AQ6" s="550">
        <v>43678</v>
      </c>
      <c r="AR6" t="s">
        <v>143</v>
      </c>
      <c r="AS6">
        <f>SUMIFS(レビュー管理!$O$11:$O$15,レビュー管理!$G$11:$G$15,ドキュメント指摘計測!AR6,レビュー管理!$J$11:$J$15,"&gt;="&amp;AQ6,レビュー管理!$J$11:$J$15,"&lt;"&amp;EDATE(AQ6,1))</f>
        <v>0</v>
      </c>
      <c r="AT6">
        <f>SUMIFS(レビュー管理!$AI$11:$AI$15,レビュー管理!$G$11:$G$15,ドキュメント指摘計測!AR6,レビュー管理!$J$11:$J$15,"&gt;="&amp;AQ6,レビュー管理!$J$11:$J$15,"&lt;"&amp;EDATE(AQ6,1))</f>
        <v>0</v>
      </c>
      <c r="AU6">
        <f t="shared" si="7"/>
        <v>0</v>
      </c>
      <c r="AW6" s="550">
        <v>43678</v>
      </c>
      <c r="AX6" t="s">
        <v>146</v>
      </c>
      <c r="AY6">
        <f>SUMIFS(レビュー管理!$O$11:$O$15,レビュー管理!$G$11:$G$15,ドキュメント指摘計測!AX6,レビュー管理!$J$11:$J$15,"&gt;="&amp;AW6,レビュー管理!$J$11:$J$15,"&lt;"&amp;EDATE(AW6,1))</f>
        <v>0</v>
      </c>
      <c r="AZ6">
        <f>SUMIFS(レビュー管理!$AI$11:$AI$15,レビュー管理!$G$11:$G$15,ドキュメント指摘計測!AX6,レビュー管理!$J$11:$J$15,"&gt;="&amp;AW6,レビュー管理!$J$11:$J$15,"&lt;"&amp;EDATE(AW6,1))</f>
        <v>0</v>
      </c>
      <c r="BA6">
        <f t="shared" si="8"/>
        <v>0</v>
      </c>
      <c r="BC6" s="550">
        <v>43678</v>
      </c>
      <c r="BD6" t="s">
        <v>144</v>
      </c>
      <c r="BE6">
        <f>SUMIFS(レビュー管理!$O$11:$O$15,レビュー管理!$G$11:$G$15,ドキュメント指摘計測!BD6,レビュー管理!$J$11:$J$15,"&gt;="&amp;BC6,レビュー管理!$J$11:$J$15,"&lt;"&amp;EDATE(BC6,1))</f>
        <v>0</v>
      </c>
      <c r="BF6">
        <f>SUMIFS(レビュー管理!$AI$11:$AI$15,レビュー管理!$G$11:$G$15,ドキュメント指摘計測!BD6,レビュー管理!$J$11:$J$15,"&gt;="&amp;BC6,レビュー管理!$J$11:$J$15,"&lt;"&amp;EDATE(BC6,1))</f>
        <v>0</v>
      </c>
      <c r="BG6">
        <f t="shared" si="9"/>
        <v>0</v>
      </c>
      <c r="BI6" s="550">
        <v>43678</v>
      </c>
      <c r="BJ6" t="s">
        <v>147</v>
      </c>
      <c r="BK6">
        <f>SUMIFS(レビュー管理!$O$11:$O$15,レビュー管理!$G$11:$G$15,ドキュメント指摘計測!BJ6,レビュー管理!$J$11:$J$15,"&gt;="&amp;BI6,レビュー管理!$J$11:$J$15,"&lt;"&amp;EDATE(BI6,1))</f>
        <v>0</v>
      </c>
      <c r="BL6">
        <f>SUMIFS(レビュー管理!$AI$11:$AI$15,レビュー管理!$G$11:$G$15,ドキュメント指摘計測!BJ6,レビュー管理!$J$11:$J$15,"&gt;="&amp;BI6,レビュー管理!$J$11:$J$15,"&lt;"&amp;EDATE(BI6,1))</f>
        <v>0</v>
      </c>
      <c r="BM6">
        <f t="shared" si="10"/>
        <v>0</v>
      </c>
    </row>
    <row r="7" spans="1:65">
      <c r="A7" s="550">
        <v>43709</v>
      </c>
      <c r="B7" t="s">
        <v>198</v>
      </c>
      <c r="C7">
        <f>SUMIFS(レビュー管理!$O$11:$O$15,レビュー管理!$G$11:$G$15,ドキュメント指摘計測!B7,レビュー管理!$J$11:$J$15,"&gt;="&amp;A7,レビュー管理!$J$11:$J$15,"&lt;"&amp;EDATE(A7,1))</f>
        <v>0</v>
      </c>
      <c r="D7">
        <f>SUMIFS(レビュー管理!$AI$11:$AI$15,レビュー管理!$G$11:$G$15,ドキュメント指摘計測!B7,レビュー管理!$J$11:$J$15,"&gt;="&amp;A7,レビュー管理!$J$11:$J$15,"&lt;"&amp;EDATE(A7,1))</f>
        <v>0</v>
      </c>
      <c r="E7">
        <f t="shared" si="0"/>
        <v>0</v>
      </c>
      <c r="G7" s="550">
        <v>43709</v>
      </c>
      <c r="H7" t="s">
        <v>398</v>
      </c>
      <c r="I7">
        <f>SUMIFS(レビュー管理!$O$11:$O$15,レビュー管理!$G$11:$G$15,ドキュメント指摘計測!H7,レビュー管理!$J$11:$J$15,"&gt;="&amp;G7,レビュー管理!$J$11:$J$15,"&lt;"&amp;EDATE(G7,1))</f>
        <v>0</v>
      </c>
      <c r="J7">
        <f>SUMIFS(レビュー管理!$AI$11:$AI$15,レビュー管理!$G$11:$G$15,ドキュメント指摘計測!H7,レビュー管理!$J$11:$J$15,"&gt;="&amp;G7,レビュー管理!$J$11:$J$15,"&lt;"&amp;EDATE(G7,1))</f>
        <v>0</v>
      </c>
      <c r="K7">
        <f t="shared" si="1"/>
        <v>0</v>
      </c>
      <c r="M7" s="550">
        <v>43709</v>
      </c>
      <c r="N7" t="s">
        <v>140</v>
      </c>
      <c r="O7">
        <f>SUMIFS(レビュー管理!$O$11:$O$15,レビュー管理!$G$11:$G$15,ドキュメント指摘計測!N7,レビュー管理!$J$11:$J$15,"&gt;="&amp;M7,レビュー管理!$J$11:$J$15,"&lt;"&amp;EDATE(M7,1))</f>
        <v>0</v>
      </c>
      <c r="P7">
        <f>SUMIFS(レビュー管理!$AI$11:$AI$15,レビュー管理!$G$11:$G$15,ドキュメント指摘計測!N7,レビュー管理!$J$11:$J$15,"&gt;="&amp;M7,レビュー管理!$J$11:$J$15,"&lt;"&amp;EDATE(M7,1))</f>
        <v>0</v>
      </c>
      <c r="Q7">
        <f t="shared" si="2"/>
        <v>0</v>
      </c>
      <c r="S7" s="550">
        <v>43709</v>
      </c>
      <c r="T7" t="s">
        <v>141</v>
      </c>
      <c r="U7">
        <f>SUMIFS(レビュー管理!$O$11:$O$15,レビュー管理!$G$11:$G$15,ドキュメント指摘計測!T7,レビュー管理!$J$11:$J$15,"&gt;="&amp;S7,レビュー管理!$J$11:$J$15,"&lt;"&amp;EDATE(S7,1))</f>
        <v>0</v>
      </c>
      <c r="V7">
        <f>SUMIFS(レビュー管理!$AI$11:$AI$15,レビュー管理!$G$11:$G$15,ドキュメント指摘計測!T7,レビュー管理!$J$11:$J$15,"&gt;="&amp;S7,レビュー管理!$J$11:$J$15,"&lt;"&amp;EDATE(S7,1))</f>
        <v>0</v>
      </c>
      <c r="W7">
        <f t="shared" si="3"/>
        <v>0</v>
      </c>
      <c r="Y7" s="550">
        <v>43709</v>
      </c>
      <c r="Z7" t="s">
        <v>197</v>
      </c>
      <c r="AA7">
        <f>SUMIFS(レビュー管理!$O$11:$O$15,レビュー管理!$G$11:$G$15,ドキュメント指摘計測!Z7,レビュー管理!$J$11:$J$15,"&gt;="&amp;Y7,レビュー管理!$J$11:$J$15,"&lt;"&amp;EDATE(Y7,1))</f>
        <v>0</v>
      </c>
      <c r="AB7">
        <f>SUMIFS(レビュー管理!$AI$11:$AI$15,レビュー管理!$G$11:$G$15,ドキュメント指摘計測!Z7,レビュー管理!$J$11:$J$15,"&gt;="&amp;Y7,レビュー管理!$J$11:$J$15,"&lt;"&amp;EDATE(Y7,1))</f>
        <v>0</v>
      </c>
      <c r="AC7">
        <f t="shared" si="4"/>
        <v>0</v>
      </c>
      <c r="AE7" s="550">
        <v>43709</v>
      </c>
      <c r="AF7" t="s">
        <v>142</v>
      </c>
      <c r="AG7">
        <f>SUMIFS(レビュー管理!$O$11:$O$15,レビュー管理!$G$11:$G$15,ドキュメント指摘計測!AF7,レビュー管理!$J$11:$J$15,"&gt;="&amp;AE7,レビュー管理!$J$11:$J$15,"&lt;"&amp;EDATE(AE7,1))</f>
        <v>0</v>
      </c>
      <c r="AH7">
        <f>SUMIFS(レビュー管理!$AI$11:$AI$15,レビュー管理!$G$11:$G$15,ドキュメント指摘計測!AF7,レビュー管理!$J$11:$J$15,"&gt;="&amp;AE7,レビュー管理!$J$11:$J$15,"&lt;"&amp;EDATE(AE7,1))</f>
        <v>0</v>
      </c>
      <c r="AI7">
        <f t="shared" si="5"/>
        <v>0</v>
      </c>
      <c r="AK7" s="550">
        <v>43709</v>
      </c>
      <c r="AL7" t="s">
        <v>145</v>
      </c>
      <c r="AM7">
        <f>SUMIFS(レビュー管理!$O$11:$O$15,レビュー管理!$G$11:$G$15,ドキュメント指摘計測!AL7,レビュー管理!$J$11:$J$15,"&gt;="&amp;AK7,レビュー管理!$J$11:$J$15,"&lt;"&amp;EDATE(AK7,1))</f>
        <v>0</v>
      </c>
      <c r="AN7">
        <f>SUMIFS(レビュー管理!$AI$11:$AI$15,レビュー管理!$G$11:$G$15,ドキュメント指摘計測!AL7,レビュー管理!$J$11:$J$15,"&gt;="&amp;AK7,レビュー管理!$J$11:$J$15,"&lt;"&amp;EDATE(AK7,1))</f>
        <v>0</v>
      </c>
      <c r="AO7">
        <f t="shared" si="6"/>
        <v>0</v>
      </c>
      <c r="AQ7" s="550">
        <v>43709</v>
      </c>
      <c r="AR7" t="s">
        <v>143</v>
      </c>
      <c r="AS7">
        <f>SUMIFS(レビュー管理!$O$11:$O$15,レビュー管理!$G$11:$G$15,ドキュメント指摘計測!AR7,レビュー管理!$J$11:$J$15,"&gt;="&amp;AQ7,レビュー管理!$J$11:$J$15,"&lt;"&amp;EDATE(AQ7,1))</f>
        <v>0</v>
      </c>
      <c r="AT7">
        <f>SUMIFS(レビュー管理!$AI$11:$AI$15,レビュー管理!$G$11:$G$15,ドキュメント指摘計測!AR7,レビュー管理!$J$11:$J$15,"&gt;="&amp;AQ7,レビュー管理!$J$11:$J$15,"&lt;"&amp;EDATE(AQ7,1))</f>
        <v>0</v>
      </c>
      <c r="AU7">
        <f t="shared" si="7"/>
        <v>0</v>
      </c>
      <c r="AW7" s="550">
        <v>43709</v>
      </c>
      <c r="AX7" t="s">
        <v>146</v>
      </c>
      <c r="AY7">
        <f>SUMIFS(レビュー管理!$O$11:$O$15,レビュー管理!$G$11:$G$15,ドキュメント指摘計測!AX7,レビュー管理!$J$11:$J$15,"&gt;="&amp;AW7,レビュー管理!$J$11:$J$15,"&lt;"&amp;EDATE(AW7,1))</f>
        <v>0</v>
      </c>
      <c r="AZ7">
        <f>SUMIFS(レビュー管理!$AI$11:$AI$15,レビュー管理!$G$11:$G$15,ドキュメント指摘計測!AX7,レビュー管理!$J$11:$J$15,"&gt;="&amp;AW7,レビュー管理!$J$11:$J$15,"&lt;"&amp;EDATE(AW7,1))</f>
        <v>0</v>
      </c>
      <c r="BA7">
        <f t="shared" si="8"/>
        <v>0</v>
      </c>
      <c r="BC7" s="550">
        <v>43709</v>
      </c>
      <c r="BD7" t="s">
        <v>144</v>
      </c>
      <c r="BE7">
        <f>SUMIFS(レビュー管理!$O$11:$O$15,レビュー管理!$G$11:$G$15,ドキュメント指摘計測!BD7,レビュー管理!$J$11:$J$15,"&gt;="&amp;BC7,レビュー管理!$J$11:$J$15,"&lt;"&amp;EDATE(BC7,1))</f>
        <v>0</v>
      </c>
      <c r="BF7">
        <f>SUMIFS(レビュー管理!$AI$11:$AI$15,レビュー管理!$G$11:$G$15,ドキュメント指摘計測!BD7,レビュー管理!$J$11:$J$15,"&gt;="&amp;BC7,レビュー管理!$J$11:$J$15,"&lt;"&amp;EDATE(BC7,1))</f>
        <v>0</v>
      </c>
      <c r="BG7">
        <f t="shared" si="9"/>
        <v>0</v>
      </c>
      <c r="BI7" s="550">
        <v>43709</v>
      </c>
      <c r="BJ7" t="s">
        <v>147</v>
      </c>
      <c r="BK7">
        <f>SUMIFS(レビュー管理!$O$11:$O$15,レビュー管理!$G$11:$G$15,ドキュメント指摘計測!BJ7,レビュー管理!$J$11:$J$15,"&gt;="&amp;BI7,レビュー管理!$J$11:$J$15,"&lt;"&amp;EDATE(BI7,1))</f>
        <v>0</v>
      </c>
      <c r="BL7">
        <f>SUMIFS(レビュー管理!$AI$11:$AI$15,レビュー管理!$G$11:$G$15,ドキュメント指摘計測!BJ7,レビュー管理!$J$11:$J$15,"&gt;="&amp;BI7,レビュー管理!$J$11:$J$15,"&lt;"&amp;EDATE(BI7,1))</f>
        <v>0</v>
      </c>
      <c r="BM7">
        <f t="shared" si="10"/>
        <v>0</v>
      </c>
    </row>
    <row r="8" spans="1:65">
      <c r="A8" s="550">
        <v>43739</v>
      </c>
      <c r="B8" t="s">
        <v>198</v>
      </c>
      <c r="C8">
        <f>SUMIFS(レビュー管理!$O$11:$O$15,レビュー管理!$G$11:$G$15,ドキュメント指摘計測!B8,レビュー管理!$J$11:$J$15,"&gt;="&amp;A8,レビュー管理!$J$11:$J$15,"&lt;"&amp;EDATE(A8,1))</f>
        <v>0</v>
      </c>
      <c r="D8">
        <f>SUMIFS(レビュー管理!$AI$11:$AI$15,レビュー管理!$G$11:$G$15,ドキュメント指摘計測!B8,レビュー管理!$J$11:$J$15,"&gt;="&amp;A8,レビュー管理!$J$11:$J$15,"&lt;"&amp;EDATE(A8,1))</f>
        <v>0</v>
      </c>
      <c r="E8">
        <f t="shared" si="0"/>
        <v>0</v>
      </c>
      <c r="G8" s="550">
        <v>43739</v>
      </c>
      <c r="H8" t="s">
        <v>398</v>
      </c>
      <c r="I8">
        <f>SUMIFS(レビュー管理!$O$11:$O$15,レビュー管理!$G$11:$G$15,ドキュメント指摘計測!H8,レビュー管理!$J$11:$J$15,"&gt;="&amp;G8,レビュー管理!$J$11:$J$15,"&lt;"&amp;EDATE(G8,1))</f>
        <v>0</v>
      </c>
      <c r="J8">
        <f>SUMIFS(レビュー管理!$AI$11:$AI$15,レビュー管理!$G$11:$G$15,ドキュメント指摘計測!H8,レビュー管理!$J$11:$J$15,"&gt;="&amp;G8,レビュー管理!$J$11:$J$15,"&lt;"&amp;EDATE(G8,1))</f>
        <v>0</v>
      </c>
      <c r="K8">
        <f t="shared" si="1"/>
        <v>0</v>
      </c>
      <c r="M8" s="550">
        <v>43739</v>
      </c>
      <c r="N8" t="s">
        <v>140</v>
      </c>
      <c r="O8">
        <f>SUMIFS(レビュー管理!$O$11:$O$15,レビュー管理!$G$11:$G$15,ドキュメント指摘計測!N8,レビュー管理!$J$11:$J$15,"&gt;="&amp;M8,レビュー管理!$J$11:$J$15,"&lt;"&amp;EDATE(M8,1))</f>
        <v>0</v>
      </c>
      <c r="P8">
        <f>SUMIFS(レビュー管理!$AI$11:$AI$15,レビュー管理!$G$11:$G$15,ドキュメント指摘計測!N8,レビュー管理!$J$11:$J$15,"&gt;="&amp;M8,レビュー管理!$J$11:$J$15,"&lt;"&amp;EDATE(M8,1))</f>
        <v>0</v>
      </c>
      <c r="Q8">
        <f t="shared" si="2"/>
        <v>0</v>
      </c>
      <c r="S8" s="550">
        <v>43739</v>
      </c>
      <c r="T8" t="s">
        <v>141</v>
      </c>
      <c r="U8">
        <f>SUMIFS(レビュー管理!$O$11:$O$15,レビュー管理!$G$11:$G$15,ドキュメント指摘計測!T8,レビュー管理!$J$11:$J$15,"&gt;="&amp;S8,レビュー管理!$J$11:$J$15,"&lt;"&amp;EDATE(S8,1))</f>
        <v>0</v>
      </c>
      <c r="V8">
        <f>SUMIFS(レビュー管理!$AI$11:$AI$15,レビュー管理!$G$11:$G$15,ドキュメント指摘計測!T8,レビュー管理!$J$11:$J$15,"&gt;="&amp;S8,レビュー管理!$J$11:$J$15,"&lt;"&amp;EDATE(S8,1))</f>
        <v>0</v>
      </c>
      <c r="W8">
        <f t="shared" si="3"/>
        <v>0</v>
      </c>
      <c r="Y8" s="550">
        <v>43739</v>
      </c>
      <c r="Z8" t="s">
        <v>197</v>
      </c>
      <c r="AA8">
        <f>SUMIFS(レビュー管理!$O$11:$O$15,レビュー管理!$G$11:$G$15,ドキュメント指摘計測!Z8,レビュー管理!$J$11:$J$15,"&gt;="&amp;Y8,レビュー管理!$J$11:$J$15,"&lt;"&amp;EDATE(Y8,1))</f>
        <v>0</v>
      </c>
      <c r="AB8">
        <f>SUMIFS(レビュー管理!$AI$11:$AI$15,レビュー管理!$G$11:$G$15,ドキュメント指摘計測!Z8,レビュー管理!$J$11:$J$15,"&gt;="&amp;Y8,レビュー管理!$J$11:$J$15,"&lt;"&amp;EDATE(Y8,1))</f>
        <v>0</v>
      </c>
      <c r="AC8">
        <f t="shared" si="4"/>
        <v>0</v>
      </c>
      <c r="AE8" s="550">
        <v>43739</v>
      </c>
      <c r="AF8" t="s">
        <v>142</v>
      </c>
      <c r="AG8">
        <f>SUMIFS(レビュー管理!$O$11:$O$15,レビュー管理!$G$11:$G$15,ドキュメント指摘計測!AF8,レビュー管理!$J$11:$J$15,"&gt;="&amp;AE8,レビュー管理!$J$11:$J$15,"&lt;"&amp;EDATE(AE8,1))</f>
        <v>0</v>
      </c>
      <c r="AH8">
        <f>SUMIFS(レビュー管理!$AI$11:$AI$15,レビュー管理!$G$11:$G$15,ドキュメント指摘計測!AF8,レビュー管理!$J$11:$J$15,"&gt;="&amp;AE8,レビュー管理!$J$11:$J$15,"&lt;"&amp;EDATE(AE8,1))</f>
        <v>0</v>
      </c>
      <c r="AI8">
        <f t="shared" si="5"/>
        <v>0</v>
      </c>
      <c r="AK8" s="550">
        <v>43739</v>
      </c>
      <c r="AL8" t="s">
        <v>145</v>
      </c>
      <c r="AM8">
        <f>SUMIFS(レビュー管理!$O$11:$O$15,レビュー管理!$G$11:$G$15,ドキュメント指摘計測!AL8,レビュー管理!$J$11:$J$15,"&gt;="&amp;AK8,レビュー管理!$J$11:$J$15,"&lt;"&amp;EDATE(AK8,1))</f>
        <v>0</v>
      </c>
      <c r="AN8">
        <f>SUMIFS(レビュー管理!$AI$11:$AI$15,レビュー管理!$G$11:$G$15,ドキュメント指摘計測!AL8,レビュー管理!$J$11:$J$15,"&gt;="&amp;AK8,レビュー管理!$J$11:$J$15,"&lt;"&amp;EDATE(AK8,1))</f>
        <v>0</v>
      </c>
      <c r="AO8">
        <f t="shared" si="6"/>
        <v>0</v>
      </c>
      <c r="AQ8" s="550">
        <v>43739</v>
      </c>
      <c r="AR8" t="s">
        <v>143</v>
      </c>
      <c r="AS8">
        <f>SUMIFS(レビュー管理!$O$11:$O$15,レビュー管理!$G$11:$G$15,ドキュメント指摘計測!AR8,レビュー管理!$J$11:$J$15,"&gt;="&amp;AQ8,レビュー管理!$J$11:$J$15,"&lt;"&amp;EDATE(AQ8,1))</f>
        <v>0</v>
      </c>
      <c r="AT8">
        <f>SUMIFS(レビュー管理!$AI$11:$AI$15,レビュー管理!$G$11:$G$15,ドキュメント指摘計測!AR8,レビュー管理!$J$11:$J$15,"&gt;="&amp;AQ8,レビュー管理!$J$11:$J$15,"&lt;"&amp;EDATE(AQ8,1))</f>
        <v>0</v>
      </c>
      <c r="AU8">
        <f t="shared" si="7"/>
        <v>0</v>
      </c>
      <c r="AW8" s="550">
        <v>43739</v>
      </c>
      <c r="AX8" t="s">
        <v>146</v>
      </c>
      <c r="AY8">
        <f>SUMIFS(レビュー管理!$O$11:$O$15,レビュー管理!$G$11:$G$15,ドキュメント指摘計測!AX8,レビュー管理!$J$11:$J$15,"&gt;="&amp;AW8,レビュー管理!$J$11:$J$15,"&lt;"&amp;EDATE(AW8,1))</f>
        <v>0</v>
      </c>
      <c r="AZ8">
        <f>SUMIFS(レビュー管理!$AI$11:$AI$15,レビュー管理!$G$11:$G$15,ドキュメント指摘計測!AX8,レビュー管理!$J$11:$J$15,"&gt;="&amp;AW8,レビュー管理!$J$11:$J$15,"&lt;"&amp;EDATE(AW8,1))</f>
        <v>0</v>
      </c>
      <c r="BA8">
        <f t="shared" si="8"/>
        <v>0</v>
      </c>
      <c r="BC8" s="550">
        <v>43739</v>
      </c>
      <c r="BD8" t="s">
        <v>144</v>
      </c>
      <c r="BE8">
        <f>SUMIFS(レビュー管理!$O$11:$O$15,レビュー管理!$G$11:$G$15,ドキュメント指摘計測!BD8,レビュー管理!$J$11:$J$15,"&gt;="&amp;BC8,レビュー管理!$J$11:$J$15,"&lt;"&amp;EDATE(BC8,1))</f>
        <v>0</v>
      </c>
      <c r="BF8">
        <f>SUMIFS(レビュー管理!$AI$11:$AI$15,レビュー管理!$G$11:$G$15,ドキュメント指摘計測!BD8,レビュー管理!$J$11:$J$15,"&gt;="&amp;BC8,レビュー管理!$J$11:$J$15,"&lt;"&amp;EDATE(BC8,1))</f>
        <v>0</v>
      </c>
      <c r="BG8">
        <f t="shared" si="9"/>
        <v>0</v>
      </c>
      <c r="BI8" s="550">
        <v>43739</v>
      </c>
      <c r="BJ8" t="s">
        <v>147</v>
      </c>
      <c r="BK8">
        <f>SUMIFS(レビュー管理!$O$11:$O$15,レビュー管理!$G$11:$G$15,ドキュメント指摘計測!BJ8,レビュー管理!$J$11:$J$15,"&gt;="&amp;BI8,レビュー管理!$J$11:$J$15,"&lt;"&amp;EDATE(BI8,1))</f>
        <v>0</v>
      </c>
      <c r="BL8">
        <f>SUMIFS(レビュー管理!$AI$11:$AI$15,レビュー管理!$G$11:$G$15,ドキュメント指摘計測!BJ8,レビュー管理!$J$11:$J$15,"&gt;="&amp;BI8,レビュー管理!$J$11:$J$15,"&lt;"&amp;EDATE(BI8,1))</f>
        <v>0</v>
      </c>
      <c r="BM8">
        <f t="shared" si="10"/>
        <v>0</v>
      </c>
    </row>
    <row r="9" spans="1:65">
      <c r="A9" s="550">
        <v>43770</v>
      </c>
      <c r="B9" t="s">
        <v>198</v>
      </c>
      <c r="C9">
        <f>SUMIFS(レビュー管理!$O$11:$O$15,レビュー管理!$G$11:$G$15,ドキュメント指摘計測!B9,レビュー管理!$J$11:$J$15,"&gt;="&amp;A9,レビュー管理!$J$11:$J$15,"&lt;"&amp;EDATE(A9,1))</f>
        <v>0</v>
      </c>
      <c r="D9">
        <f>SUMIFS(レビュー管理!$AI$11:$AI$15,レビュー管理!$G$11:$G$15,ドキュメント指摘計測!B9,レビュー管理!$J$11:$J$15,"&gt;="&amp;A9,レビュー管理!$J$11:$J$15,"&lt;"&amp;EDATE(A9,1))</f>
        <v>0</v>
      </c>
      <c r="E9">
        <f t="shared" si="0"/>
        <v>0</v>
      </c>
      <c r="G9" s="550">
        <v>43770</v>
      </c>
      <c r="H9" t="s">
        <v>398</v>
      </c>
      <c r="I9">
        <f>SUMIFS(レビュー管理!$O$11:$O$15,レビュー管理!$G$11:$G$15,ドキュメント指摘計測!H9,レビュー管理!$J$11:$J$15,"&gt;="&amp;G9,レビュー管理!$J$11:$J$15,"&lt;"&amp;EDATE(G9,1))</f>
        <v>0</v>
      </c>
      <c r="J9">
        <f>SUMIFS(レビュー管理!$AI$11:$AI$15,レビュー管理!$G$11:$G$15,ドキュメント指摘計測!H9,レビュー管理!$J$11:$J$15,"&gt;="&amp;G9,レビュー管理!$J$11:$J$15,"&lt;"&amp;EDATE(G9,1))</f>
        <v>0</v>
      </c>
      <c r="K9">
        <f t="shared" si="1"/>
        <v>0</v>
      </c>
      <c r="M9" s="550">
        <v>43770</v>
      </c>
      <c r="N9" t="s">
        <v>140</v>
      </c>
      <c r="O9">
        <f>SUMIFS(レビュー管理!$O$11:$O$15,レビュー管理!$G$11:$G$15,ドキュメント指摘計測!N9,レビュー管理!$J$11:$J$15,"&gt;="&amp;M9,レビュー管理!$J$11:$J$15,"&lt;"&amp;EDATE(M9,1))</f>
        <v>0</v>
      </c>
      <c r="P9">
        <f>SUMIFS(レビュー管理!$AI$11:$AI$15,レビュー管理!$G$11:$G$15,ドキュメント指摘計測!N9,レビュー管理!$J$11:$J$15,"&gt;="&amp;M9,レビュー管理!$J$11:$J$15,"&lt;"&amp;EDATE(M9,1))</f>
        <v>0</v>
      </c>
      <c r="Q9">
        <f t="shared" si="2"/>
        <v>0</v>
      </c>
      <c r="S9" s="550">
        <v>43770</v>
      </c>
      <c r="T9" t="s">
        <v>141</v>
      </c>
      <c r="U9">
        <f>SUMIFS(レビュー管理!$O$11:$O$15,レビュー管理!$G$11:$G$15,ドキュメント指摘計測!T9,レビュー管理!$J$11:$J$15,"&gt;="&amp;S9,レビュー管理!$J$11:$J$15,"&lt;"&amp;EDATE(S9,1))</f>
        <v>0</v>
      </c>
      <c r="V9">
        <f>SUMIFS(レビュー管理!$AI$11:$AI$15,レビュー管理!$G$11:$G$15,ドキュメント指摘計測!T9,レビュー管理!$J$11:$J$15,"&gt;="&amp;S9,レビュー管理!$J$11:$J$15,"&lt;"&amp;EDATE(S9,1))</f>
        <v>0</v>
      </c>
      <c r="W9">
        <f t="shared" si="3"/>
        <v>0</v>
      </c>
      <c r="Y9" s="550">
        <v>43770</v>
      </c>
      <c r="Z9" t="s">
        <v>197</v>
      </c>
      <c r="AA9">
        <f>SUMIFS(レビュー管理!$O$11:$O$15,レビュー管理!$G$11:$G$15,ドキュメント指摘計測!Z9,レビュー管理!$J$11:$J$15,"&gt;="&amp;Y9,レビュー管理!$J$11:$J$15,"&lt;"&amp;EDATE(Y9,1))</f>
        <v>0</v>
      </c>
      <c r="AB9">
        <f>SUMIFS(レビュー管理!$AI$11:$AI$15,レビュー管理!$G$11:$G$15,ドキュメント指摘計測!Z9,レビュー管理!$J$11:$J$15,"&gt;="&amp;Y9,レビュー管理!$J$11:$J$15,"&lt;"&amp;EDATE(Y9,1))</f>
        <v>0</v>
      </c>
      <c r="AC9">
        <f t="shared" si="4"/>
        <v>0</v>
      </c>
      <c r="AE9" s="550">
        <v>43770</v>
      </c>
      <c r="AF9" t="s">
        <v>142</v>
      </c>
      <c r="AG9">
        <f>SUMIFS(レビュー管理!$O$11:$O$15,レビュー管理!$G$11:$G$15,ドキュメント指摘計測!AF9,レビュー管理!$J$11:$J$15,"&gt;="&amp;AE9,レビュー管理!$J$11:$J$15,"&lt;"&amp;EDATE(AE9,1))</f>
        <v>0</v>
      </c>
      <c r="AH9">
        <f>SUMIFS(レビュー管理!$AI$11:$AI$15,レビュー管理!$G$11:$G$15,ドキュメント指摘計測!AF9,レビュー管理!$J$11:$J$15,"&gt;="&amp;AE9,レビュー管理!$J$11:$J$15,"&lt;"&amp;EDATE(AE9,1))</f>
        <v>0</v>
      </c>
      <c r="AI9">
        <f t="shared" si="5"/>
        <v>0</v>
      </c>
      <c r="AK9" s="550">
        <v>43770</v>
      </c>
      <c r="AL9" t="s">
        <v>145</v>
      </c>
      <c r="AM9">
        <f>SUMIFS(レビュー管理!$O$11:$O$15,レビュー管理!$G$11:$G$15,ドキュメント指摘計測!AL9,レビュー管理!$J$11:$J$15,"&gt;="&amp;AK9,レビュー管理!$J$11:$J$15,"&lt;"&amp;EDATE(AK9,1))</f>
        <v>0</v>
      </c>
      <c r="AN9">
        <f>SUMIFS(レビュー管理!$AI$11:$AI$15,レビュー管理!$G$11:$G$15,ドキュメント指摘計測!AL9,レビュー管理!$J$11:$J$15,"&gt;="&amp;AK9,レビュー管理!$J$11:$J$15,"&lt;"&amp;EDATE(AK9,1))</f>
        <v>0</v>
      </c>
      <c r="AO9">
        <f t="shared" si="6"/>
        <v>0</v>
      </c>
      <c r="AQ9" s="550">
        <v>43770</v>
      </c>
      <c r="AR9" t="s">
        <v>143</v>
      </c>
      <c r="AS9">
        <f>SUMIFS(レビュー管理!$O$11:$O$15,レビュー管理!$G$11:$G$15,ドキュメント指摘計測!AR9,レビュー管理!$J$11:$J$15,"&gt;="&amp;AQ9,レビュー管理!$J$11:$J$15,"&lt;"&amp;EDATE(AQ9,1))</f>
        <v>0</v>
      </c>
      <c r="AT9">
        <f>SUMIFS(レビュー管理!$AI$11:$AI$15,レビュー管理!$G$11:$G$15,ドキュメント指摘計測!AR9,レビュー管理!$J$11:$J$15,"&gt;="&amp;AQ9,レビュー管理!$J$11:$J$15,"&lt;"&amp;EDATE(AQ9,1))</f>
        <v>0</v>
      </c>
      <c r="AU9">
        <f t="shared" si="7"/>
        <v>0</v>
      </c>
      <c r="AW9" s="550">
        <v>43770</v>
      </c>
      <c r="AX9" t="s">
        <v>146</v>
      </c>
      <c r="AY9">
        <f>SUMIFS(レビュー管理!$O$11:$O$15,レビュー管理!$G$11:$G$15,ドキュメント指摘計測!AX9,レビュー管理!$J$11:$J$15,"&gt;="&amp;AW9,レビュー管理!$J$11:$J$15,"&lt;"&amp;EDATE(AW9,1))</f>
        <v>0</v>
      </c>
      <c r="AZ9">
        <f>SUMIFS(レビュー管理!$AI$11:$AI$15,レビュー管理!$G$11:$G$15,ドキュメント指摘計測!AX9,レビュー管理!$J$11:$J$15,"&gt;="&amp;AW9,レビュー管理!$J$11:$J$15,"&lt;"&amp;EDATE(AW9,1))</f>
        <v>0</v>
      </c>
      <c r="BA9">
        <f t="shared" si="8"/>
        <v>0</v>
      </c>
      <c r="BC9" s="550">
        <v>43770</v>
      </c>
      <c r="BD9" t="s">
        <v>144</v>
      </c>
      <c r="BE9">
        <f>SUMIFS(レビュー管理!$O$11:$O$15,レビュー管理!$G$11:$G$15,ドキュメント指摘計測!BD9,レビュー管理!$J$11:$J$15,"&gt;="&amp;BC9,レビュー管理!$J$11:$J$15,"&lt;"&amp;EDATE(BC9,1))</f>
        <v>0</v>
      </c>
      <c r="BF9">
        <f>SUMIFS(レビュー管理!$AI$11:$AI$15,レビュー管理!$G$11:$G$15,ドキュメント指摘計測!BD9,レビュー管理!$J$11:$J$15,"&gt;="&amp;BC9,レビュー管理!$J$11:$J$15,"&lt;"&amp;EDATE(BC9,1))</f>
        <v>0</v>
      </c>
      <c r="BG9">
        <f t="shared" si="9"/>
        <v>0</v>
      </c>
      <c r="BI9" s="550">
        <v>43770</v>
      </c>
      <c r="BJ9" t="s">
        <v>147</v>
      </c>
      <c r="BK9">
        <f>SUMIFS(レビュー管理!$O$11:$O$15,レビュー管理!$G$11:$G$15,ドキュメント指摘計測!BJ9,レビュー管理!$J$11:$J$15,"&gt;="&amp;BI9,レビュー管理!$J$11:$J$15,"&lt;"&amp;EDATE(BI9,1))</f>
        <v>0</v>
      </c>
      <c r="BL9">
        <f>SUMIFS(レビュー管理!$AI$11:$AI$15,レビュー管理!$G$11:$G$15,ドキュメント指摘計測!BJ9,レビュー管理!$J$11:$J$15,"&gt;="&amp;BI9,レビュー管理!$J$11:$J$15,"&lt;"&amp;EDATE(BI9,1))</f>
        <v>0</v>
      </c>
      <c r="BM9">
        <f t="shared" si="10"/>
        <v>0</v>
      </c>
    </row>
    <row r="10" spans="1:65">
      <c r="A10" s="550">
        <v>43800</v>
      </c>
      <c r="B10" t="s">
        <v>198</v>
      </c>
      <c r="C10">
        <f>SUMIFS(レビュー管理!$O$11:$O$15,レビュー管理!$G$11:$G$15,ドキュメント指摘計測!B10,レビュー管理!$J$11:$J$15,"&gt;="&amp;A10,レビュー管理!$J$11:$J$15,"&lt;"&amp;EDATE(A10,1))</f>
        <v>0</v>
      </c>
      <c r="D10">
        <f>SUMIFS(レビュー管理!$AI$11:$AI$15,レビュー管理!$G$11:$G$15,ドキュメント指摘計測!B10,レビュー管理!$J$11:$J$15,"&gt;="&amp;A10,レビュー管理!$J$11:$J$15,"&lt;"&amp;EDATE(A10,1))</f>
        <v>0</v>
      </c>
      <c r="E10">
        <f t="shared" si="0"/>
        <v>0</v>
      </c>
      <c r="G10" s="550">
        <v>43800</v>
      </c>
      <c r="H10" t="s">
        <v>398</v>
      </c>
      <c r="I10">
        <f>SUMIFS(レビュー管理!$O$11:$O$15,レビュー管理!$G$11:$G$15,ドキュメント指摘計測!H10,レビュー管理!$J$11:$J$15,"&gt;="&amp;G10,レビュー管理!$J$11:$J$15,"&lt;"&amp;EDATE(G10,1))</f>
        <v>0</v>
      </c>
      <c r="J10">
        <f>SUMIFS(レビュー管理!$AI$11:$AI$15,レビュー管理!$G$11:$G$15,ドキュメント指摘計測!H10,レビュー管理!$J$11:$J$15,"&gt;="&amp;G10,レビュー管理!$J$11:$J$15,"&lt;"&amp;EDATE(G10,1))</f>
        <v>0</v>
      </c>
      <c r="K10">
        <f t="shared" si="1"/>
        <v>0</v>
      </c>
      <c r="M10" s="550">
        <v>43800</v>
      </c>
      <c r="N10" t="s">
        <v>140</v>
      </c>
      <c r="O10">
        <f>SUMIFS(レビュー管理!$O$11:$O$15,レビュー管理!$G$11:$G$15,ドキュメント指摘計測!N10,レビュー管理!$J$11:$J$15,"&gt;="&amp;M10,レビュー管理!$J$11:$J$15,"&lt;"&amp;EDATE(M10,1))</f>
        <v>0</v>
      </c>
      <c r="P10">
        <f>SUMIFS(レビュー管理!$AI$11:$AI$15,レビュー管理!$G$11:$G$15,ドキュメント指摘計測!N10,レビュー管理!$J$11:$J$15,"&gt;="&amp;M10,レビュー管理!$J$11:$J$15,"&lt;"&amp;EDATE(M10,1))</f>
        <v>0</v>
      </c>
      <c r="Q10">
        <f t="shared" si="2"/>
        <v>0</v>
      </c>
      <c r="S10" s="550">
        <v>43800</v>
      </c>
      <c r="T10" t="s">
        <v>141</v>
      </c>
      <c r="U10">
        <f>SUMIFS(レビュー管理!$O$11:$O$15,レビュー管理!$G$11:$G$15,ドキュメント指摘計測!T10,レビュー管理!$J$11:$J$15,"&gt;="&amp;S10,レビュー管理!$J$11:$J$15,"&lt;"&amp;EDATE(S10,1))</f>
        <v>0</v>
      </c>
      <c r="V10">
        <f>SUMIFS(レビュー管理!$AI$11:$AI$15,レビュー管理!$G$11:$G$15,ドキュメント指摘計測!T10,レビュー管理!$J$11:$J$15,"&gt;="&amp;S10,レビュー管理!$J$11:$J$15,"&lt;"&amp;EDATE(S10,1))</f>
        <v>0</v>
      </c>
      <c r="W10">
        <f t="shared" si="3"/>
        <v>0</v>
      </c>
      <c r="Y10" s="550">
        <v>43800</v>
      </c>
      <c r="Z10" t="s">
        <v>197</v>
      </c>
      <c r="AA10">
        <f>SUMIFS(レビュー管理!$O$11:$O$15,レビュー管理!$G$11:$G$15,ドキュメント指摘計測!Z10,レビュー管理!$J$11:$J$15,"&gt;="&amp;Y10,レビュー管理!$J$11:$J$15,"&lt;"&amp;EDATE(Y10,1))</f>
        <v>0</v>
      </c>
      <c r="AB10">
        <f>SUMIFS(レビュー管理!$AI$11:$AI$15,レビュー管理!$G$11:$G$15,ドキュメント指摘計測!Z10,レビュー管理!$J$11:$J$15,"&gt;="&amp;Y10,レビュー管理!$J$11:$J$15,"&lt;"&amp;EDATE(Y10,1))</f>
        <v>0</v>
      </c>
      <c r="AC10">
        <f t="shared" si="4"/>
        <v>0</v>
      </c>
      <c r="AE10" s="550">
        <v>43800</v>
      </c>
      <c r="AF10" t="s">
        <v>142</v>
      </c>
      <c r="AG10">
        <f>SUMIFS(レビュー管理!$O$11:$O$15,レビュー管理!$G$11:$G$15,ドキュメント指摘計測!AF10,レビュー管理!$J$11:$J$15,"&gt;="&amp;AE10,レビュー管理!$J$11:$J$15,"&lt;"&amp;EDATE(AE10,1))</f>
        <v>0</v>
      </c>
      <c r="AH10">
        <f>SUMIFS(レビュー管理!$AI$11:$AI$15,レビュー管理!$G$11:$G$15,ドキュメント指摘計測!AF10,レビュー管理!$J$11:$J$15,"&gt;="&amp;AE10,レビュー管理!$J$11:$J$15,"&lt;"&amp;EDATE(AE10,1))</f>
        <v>0</v>
      </c>
      <c r="AI10">
        <f t="shared" si="5"/>
        <v>0</v>
      </c>
      <c r="AK10" s="550">
        <v>43800</v>
      </c>
      <c r="AL10" t="s">
        <v>145</v>
      </c>
      <c r="AM10">
        <f>SUMIFS(レビュー管理!$O$11:$O$15,レビュー管理!$G$11:$G$15,ドキュメント指摘計測!AL10,レビュー管理!$J$11:$J$15,"&gt;="&amp;AK10,レビュー管理!$J$11:$J$15,"&lt;"&amp;EDATE(AK10,1))</f>
        <v>0</v>
      </c>
      <c r="AN10">
        <f>SUMIFS(レビュー管理!$AI$11:$AI$15,レビュー管理!$G$11:$G$15,ドキュメント指摘計測!AL10,レビュー管理!$J$11:$J$15,"&gt;="&amp;AK10,レビュー管理!$J$11:$J$15,"&lt;"&amp;EDATE(AK10,1))</f>
        <v>0</v>
      </c>
      <c r="AO10">
        <f t="shared" si="6"/>
        <v>0</v>
      </c>
      <c r="AQ10" s="550">
        <v>43800</v>
      </c>
      <c r="AR10" t="s">
        <v>143</v>
      </c>
      <c r="AS10">
        <f>SUMIFS(レビュー管理!$O$11:$O$15,レビュー管理!$G$11:$G$15,ドキュメント指摘計測!AR10,レビュー管理!$J$11:$J$15,"&gt;="&amp;AQ10,レビュー管理!$J$11:$J$15,"&lt;"&amp;EDATE(AQ10,1))</f>
        <v>0</v>
      </c>
      <c r="AT10">
        <f>SUMIFS(レビュー管理!$AI$11:$AI$15,レビュー管理!$G$11:$G$15,ドキュメント指摘計測!AR10,レビュー管理!$J$11:$J$15,"&gt;="&amp;AQ10,レビュー管理!$J$11:$J$15,"&lt;"&amp;EDATE(AQ10,1))</f>
        <v>0</v>
      </c>
      <c r="AU10">
        <f t="shared" si="7"/>
        <v>0</v>
      </c>
      <c r="AW10" s="550">
        <v>43800</v>
      </c>
      <c r="AX10" t="s">
        <v>146</v>
      </c>
      <c r="AY10">
        <f>SUMIFS(レビュー管理!$O$11:$O$15,レビュー管理!$G$11:$G$15,ドキュメント指摘計測!AX10,レビュー管理!$J$11:$J$15,"&gt;="&amp;AW10,レビュー管理!$J$11:$J$15,"&lt;"&amp;EDATE(AW10,1))</f>
        <v>0</v>
      </c>
      <c r="AZ10">
        <f>SUMIFS(レビュー管理!$AI$11:$AI$15,レビュー管理!$G$11:$G$15,ドキュメント指摘計測!AX10,レビュー管理!$J$11:$J$15,"&gt;="&amp;AW10,レビュー管理!$J$11:$J$15,"&lt;"&amp;EDATE(AW10,1))</f>
        <v>0</v>
      </c>
      <c r="BA10">
        <f t="shared" si="8"/>
        <v>0</v>
      </c>
      <c r="BC10" s="550">
        <v>43800</v>
      </c>
      <c r="BD10" t="s">
        <v>144</v>
      </c>
      <c r="BE10">
        <f>SUMIFS(レビュー管理!$O$11:$O$15,レビュー管理!$G$11:$G$15,ドキュメント指摘計測!BD10,レビュー管理!$J$11:$J$15,"&gt;="&amp;BC10,レビュー管理!$J$11:$J$15,"&lt;"&amp;EDATE(BC10,1))</f>
        <v>0</v>
      </c>
      <c r="BF10">
        <f>SUMIFS(レビュー管理!$AI$11:$AI$15,レビュー管理!$G$11:$G$15,ドキュメント指摘計測!BD10,レビュー管理!$J$11:$J$15,"&gt;="&amp;BC10,レビュー管理!$J$11:$J$15,"&lt;"&amp;EDATE(BC10,1))</f>
        <v>0</v>
      </c>
      <c r="BG10">
        <f t="shared" si="9"/>
        <v>0</v>
      </c>
      <c r="BI10" s="550">
        <v>43800</v>
      </c>
      <c r="BJ10" t="s">
        <v>147</v>
      </c>
      <c r="BK10">
        <f>SUMIFS(レビュー管理!$O$11:$O$15,レビュー管理!$G$11:$G$15,ドキュメント指摘計測!BJ10,レビュー管理!$J$11:$J$15,"&gt;="&amp;BI10,レビュー管理!$J$11:$J$15,"&lt;"&amp;EDATE(BI10,1))</f>
        <v>0</v>
      </c>
      <c r="BL10">
        <f>SUMIFS(レビュー管理!$AI$11:$AI$15,レビュー管理!$G$11:$G$15,ドキュメント指摘計測!BJ10,レビュー管理!$J$11:$J$15,"&gt;="&amp;BI10,レビュー管理!$J$11:$J$15,"&lt;"&amp;EDATE(BI10,1))</f>
        <v>0</v>
      </c>
      <c r="BM10">
        <f t="shared" si="10"/>
        <v>0</v>
      </c>
    </row>
    <row r="11" spans="1:65">
      <c r="A11" s="550">
        <v>43831</v>
      </c>
      <c r="B11" t="s">
        <v>198</v>
      </c>
      <c r="C11">
        <f>SUMIFS(レビュー管理!$O$11:$O$15,レビュー管理!$G$11:$G$15,ドキュメント指摘計測!B11,レビュー管理!$J$11:$J$15,"&gt;="&amp;A11,レビュー管理!$J$11:$J$15,"&lt;"&amp;EDATE(A11,1))</f>
        <v>0</v>
      </c>
      <c r="D11">
        <f>SUMIFS(レビュー管理!$AI$11:$AI$15,レビュー管理!$G$11:$G$15,ドキュメント指摘計測!B11,レビュー管理!$J$11:$J$15,"&gt;="&amp;A11,レビュー管理!$J$11:$J$15,"&lt;"&amp;EDATE(A11,1))</f>
        <v>0</v>
      </c>
      <c r="E11">
        <f t="shared" si="0"/>
        <v>0</v>
      </c>
      <c r="G11" s="550">
        <v>43831</v>
      </c>
      <c r="H11" t="s">
        <v>398</v>
      </c>
      <c r="I11">
        <f>SUMIFS(レビュー管理!$O$11:$O$15,レビュー管理!$G$11:$G$15,ドキュメント指摘計測!H11,レビュー管理!$J$11:$J$15,"&gt;="&amp;G11,レビュー管理!$J$11:$J$15,"&lt;"&amp;EDATE(G11,1))</f>
        <v>0</v>
      </c>
      <c r="J11">
        <f>SUMIFS(レビュー管理!$AI$11:$AI$15,レビュー管理!$G$11:$G$15,ドキュメント指摘計測!H11,レビュー管理!$J$11:$J$15,"&gt;="&amp;G11,レビュー管理!$J$11:$J$15,"&lt;"&amp;EDATE(G11,1))</f>
        <v>0</v>
      </c>
      <c r="K11">
        <f t="shared" si="1"/>
        <v>0</v>
      </c>
      <c r="M11" s="550">
        <v>43831</v>
      </c>
      <c r="N11" t="s">
        <v>140</v>
      </c>
      <c r="O11">
        <f>SUMIFS(レビュー管理!$O$11:$O$15,レビュー管理!$G$11:$G$15,ドキュメント指摘計測!N11,レビュー管理!$J$11:$J$15,"&gt;="&amp;M11,レビュー管理!$J$11:$J$15,"&lt;"&amp;EDATE(M11,1))</f>
        <v>0</v>
      </c>
      <c r="P11">
        <f>SUMIFS(レビュー管理!$AI$11:$AI$15,レビュー管理!$G$11:$G$15,ドキュメント指摘計測!N11,レビュー管理!$J$11:$J$15,"&gt;="&amp;M11,レビュー管理!$J$11:$J$15,"&lt;"&amp;EDATE(M11,1))</f>
        <v>0</v>
      </c>
      <c r="Q11">
        <f t="shared" si="2"/>
        <v>0</v>
      </c>
      <c r="S11" s="550">
        <v>43831</v>
      </c>
      <c r="T11" t="s">
        <v>141</v>
      </c>
      <c r="U11">
        <f>SUMIFS(レビュー管理!$O$11:$O$15,レビュー管理!$G$11:$G$15,ドキュメント指摘計測!T11,レビュー管理!$J$11:$J$15,"&gt;="&amp;S11,レビュー管理!$J$11:$J$15,"&lt;"&amp;EDATE(S11,1))</f>
        <v>0</v>
      </c>
      <c r="V11">
        <f>SUMIFS(レビュー管理!$AI$11:$AI$15,レビュー管理!$G$11:$G$15,ドキュメント指摘計測!T11,レビュー管理!$J$11:$J$15,"&gt;="&amp;S11,レビュー管理!$J$11:$J$15,"&lt;"&amp;EDATE(S11,1))</f>
        <v>0</v>
      </c>
      <c r="W11">
        <f t="shared" si="3"/>
        <v>0</v>
      </c>
      <c r="Y11" s="550">
        <v>43831</v>
      </c>
      <c r="Z11" t="s">
        <v>197</v>
      </c>
      <c r="AA11">
        <f>SUMIFS(レビュー管理!$O$11:$O$15,レビュー管理!$G$11:$G$15,ドキュメント指摘計測!Z11,レビュー管理!$J$11:$J$15,"&gt;="&amp;Y11,レビュー管理!$J$11:$J$15,"&lt;"&amp;EDATE(Y11,1))</f>
        <v>0</v>
      </c>
      <c r="AB11">
        <f>SUMIFS(レビュー管理!$AI$11:$AI$15,レビュー管理!$G$11:$G$15,ドキュメント指摘計測!Z11,レビュー管理!$J$11:$J$15,"&gt;="&amp;Y11,レビュー管理!$J$11:$J$15,"&lt;"&amp;EDATE(Y11,1))</f>
        <v>0</v>
      </c>
      <c r="AC11">
        <f t="shared" si="4"/>
        <v>0</v>
      </c>
      <c r="AE11" s="550">
        <v>43831</v>
      </c>
      <c r="AF11" t="s">
        <v>142</v>
      </c>
      <c r="AG11">
        <f>SUMIFS(レビュー管理!$O$11:$O$15,レビュー管理!$G$11:$G$15,ドキュメント指摘計測!AF11,レビュー管理!$J$11:$J$15,"&gt;="&amp;AE11,レビュー管理!$J$11:$J$15,"&lt;"&amp;EDATE(AE11,1))</f>
        <v>0</v>
      </c>
      <c r="AH11">
        <f>SUMIFS(レビュー管理!$AI$11:$AI$15,レビュー管理!$G$11:$G$15,ドキュメント指摘計測!AF11,レビュー管理!$J$11:$J$15,"&gt;="&amp;AE11,レビュー管理!$J$11:$J$15,"&lt;"&amp;EDATE(AE11,1))</f>
        <v>0</v>
      </c>
      <c r="AI11">
        <f t="shared" si="5"/>
        <v>0</v>
      </c>
      <c r="AK11" s="550">
        <v>43831</v>
      </c>
      <c r="AL11" t="s">
        <v>145</v>
      </c>
      <c r="AM11">
        <f>SUMIFS(レビュー管理!$O$11:$O$15,レビュー管理!$G$11:$G$15,ドキュメント指摘計測!AL11,レビュー管理!$J$11:$J$15,"&gt;="&amp;AK11,レビュー管理!$J$11:$J$15,"&lt;"&amp;EDATE(AK11,1))</f>
        <v>0</v>
      </c>
      <c r="AN11">
        <f>SUMIFS(レビュー管理!$AI$11:$AI$15,レビュー管理!$G$11:$G$15,ドキュメント指摘計測!AL11,レビュー管理!$J$11:$J$15,"&gt;="&amp;AK11,レビュー管理!$J$11:$J$15,"&lt;"&amp;EDATE(AK11,1))</f>
        <v>0</v>
      </c>
      <c r="AO11">
        <f t="shared" si="6"/>
        <v>0</v>
      </c>
      <c r="AQ11" s="550">
        <v>43831</v>
      </c>
      <c r="AR11" t="s">
        <v>143</v>
      </c>
      <c r="AS11">
        <f>SUMIFS(レビュー管理!$O$11:$O$15,レビュー管理!$G$11:$G$15,ドキュメント指摘計測!AR11,レビュー管理!$J$11:$J$15,"&gt;="&amp;AQ11,レビュー管理!$J$11:$J$15,"&lt;"&amp;EDATE(AQ11,1))</f>
        <v>0</v>
      </c>
      <c r="AT11">
        <f>SUMIFS(レビュー管理!$AI$11:$AI$15,レビュー管理!$G$11:$G$15,ドキュメント指摘計測!AR11,レビュー管理!$J$11:$J$15,"&gt;="&amp;AQ11,レビュー管理!$J$11:$J$15,"&lt;"&amp;EDATE(AQ11,1))</f>
        <v>0</v>
      </c>
      <c r="AU11">
        <f t="shared" si="7"/>
        <v>0</v>
      </c>
      <c r="AW11" s="550">
        <v>43831</v>
      </c>
      <c r="AX11" t="s">
        <v>146</v>
      </c>
      <c r="AY11">
        <f>SUMIFS(レビュー管理!$O$11:$O$15,レビュー管理!$G$11:$G$15,ドキュメント指摘計測!AX11,レビュー管理!$J$11:$J$15,"&gt;="&amp;AW11,レビュー管理!$J$11:$J$15,"&lt;"&amp;EDATE(AW11,1))</f>
        <v>0</v>
      </c>
      <c r="AZ11">
        <f>SUMIFS(レビュー管理!$AI$11:$AI$15,レビュー管理!$G$11:$G$15,ドキュメント指摘計測!AX11,レビュー管理!$J$11:$J$15,"&gt;="&amp;AW11,レビュー管理!$J$11:$J$15,"&lt;"&amp;EDATE(AW11,1))</f>
        <v>0</v>
      </c>
      <c r="BA11">
        <f t="shared" si="8"/>
        <v>0</v>
      </c>
      <c r="BC11" s="550">
        <v>43831</v>
      </c>
      <c r="BD11" t="s">
        <v>144</v>
      </c>
      <c r="BE11">
        <f>SUMIFS(レビュー管理!$O$11:$O$15,レビュー管理!$G$11:$G$15,ドキュメント指摘計測!BD11,レビュー管理!$J$11:$J$15,"&gt;="&amp;BC11,レビュー管理!$J$11:$J$15,"&lt;"&amp;EDATE(BC11,1))</f>
        <v>0</v>
      </c>
      <c r="BF11">
        <f>SUMIFS(レビュー管理!$AI$11:$AI$15,レビュー管理!$G$11:$G$15,ドキュメント指摘計測!BD11,レビュー管理!$J$11:$J$15,"&gt;="&amp;BC11,レビュー管理!$J$11:$J$15,"&lt;"&amp;EDATE(BC11,1))</f>
        <v>0</v>
      </c>
      <c r="BG11">
        <f t="shared" si="9"/>
        <v>0</v>
      </c>
      <c r="BI11" s="550">
        <v>43831</v>
      </c>
      <c r="BJ11" t="s">
        <v>147</v>
      </c>
      <c r="BK11">
        <f>SUMIFS(レビュー管理!$O$11:$O$15,レビュー管理!$G$11:$G$15,ドキュメント指摘計測!BJ11,レビュー管理!$J$11:$J$15,"&gt;="&amp;BI11,レビュー管理!$J$11:$J$15,"&lt;"&amp;EDATE(BI11,1))</f>
        <v>0</v>
      </c>
      <c r="BL11">
        <f>SUMIFS(レビュー管理!$AI$11:$AI$15,レビュー管理!$G$11:$G$15,ドキュメント指摘計測!BJ11,レビュー管理!$J$11:$J$15,"&gt;="&amp;BI11,レビュー管理!$J$11:$J$15,"&lt;"&amp;EDATE(BI11,1))</f>
        <v>0</v>
      </c>
      <c r="BM11">
        <f t="shared" si="10"/>
        <v>0</v>
      </c>
    </row>
    <row r="12" spans="1:65">
      <c r="A12" s="550">
        <v>43862</v>
      </c>
      <c r="B12" t="s">
        <v>198</v>
      </c>
      <c r="C12">
        <f>SUMIFS(レビュー管理!$O$11:$O$15,レビュー管理!$G$11:$G$15,ドキュメント指摘計測!B12,レビュー管理!$J$11:$J$15,"&gt;="&amp;A12,レビュー管理!$J$11:$J$15,"&lt;"&amp;EDATE(A12,1))</f>
        <v>0</v>
      </c>
      <c r="D12">
        <f>SUMIFS(レビュー管理!$AI$11:$AI$15,レビュー管理!$G$11:$G$15,ドキュメント指摘計測!B12,レビュー管理!$J$11:$J$15,"&gt;="&amp;A12,レビュー管理!$J$11:$J$15,"&lt;"&amp;EDATE(A12,1))</f>
        <v>0</v>
      </c>
      <c r="E12">
        <f t="shared" si="0"/>
        <v>0</v>
      </c>
      <c r="G12" s="550">
        <v>43862</v>
      </c>
      <c r="H12" t="s">
        <v>398</v>
      </c>
      <c r="I12">
        <f>SUMIFS(レビュー管理!$O$11:$O$15,レビュー管理!$G$11:$G$15,ドキュメント指摘計測!H12,レビュー管理!$J$11:$J$15,"&gt;="&amp;G12,レビュー管理!$J$11:$J$15,"&lt;"&amp;EDATE(G12,1))</f>
        <v>0</v>
      </c>
      <c r="J12">
        <f>SUMIFS(レビュー管理!$AI$11:$AI$15,レビュー管理!$G$11:$G$15,ドキュメント指摘計測!H12,レビュー管理!$J$11:$J$15,"&gt;="&amp;G12,レビュー管理!$J$11:$J$15,"&lt;"&amp;EDATE(G12,1))</f>
        <v>0</v>
      </c>
      <c r="K12">
        <f t="shared" si="1"/>
        <v>0</v>
      </c>
      <c r="M12" s="550">
        <v>43862</v>
      </c>
      <c r="N12" t="s">
        <v>140</v>
      </c>
      <c r="O12">
        <f>SUMIFS(レビュー管理!$O$11:$O$15,レビュー管理!$G$11:$G$15,ドキュメント指摘計測!N12,レビュー管理!$J$11:$J$15,"&gt;="&amp;M12,レビュー管理!$J$11:$J$15,"&lt;"&amp;EDATE(M12,1))</f>
        <v>0</v>
      </c>
      <c r="P12">
        <f>SUMIFS(レビュー管理!$AI$11:$AI$15,レビュー管理!$G$11:$G$15,ドキュメント指摘計測!N12,レビュー管理!$J$11:$J$15,"&gt;="&amp;M12,レビュー管理!$J$11:$J$15,"&lt;"&amp;EDATE(M12,1))</f>
        <v>0</v>
      </c>
      <c r="Q12">
        <f t="shared" si="2"/>
        <v>0</v>
      </c>
      <c r="S12" s="550">
        <v>43862</v>
      </c>
      <c r="T12" t="s">
        <v>141</v>
      </c>
      <c r="U12">
        <f>SUMIFS(レビュー管理!$O$11:$O$15,レビュー管理!$G$11:$G$15,ドキュメント指摘計測!T12,レビュー管理!$J$11:$J$15,"&gt;="&amp;S12,レビュー管理!$J$11:$J$15,"&lt;"&amp;EDATE(S12,1))</f>
        <v>0</v>
      </c>
      <c r="V12">
        <f>SUMIFS(レビュー管理!$AI$11:$AI$15,レビュー管理!$G$11:$G$15,ドキュメント指摘計測!T12,レビュー管理!$J$11:$J$15,"&gt;="&amp;S12,レビュー管理!$J$11:$J$15,"&lt;"&amp;EDATE(S12,1))</f>
        <v>0</v>
      </c>
      <c r="W12">
        <f t="shared" si="3"/>
        <v>0</v>
      </c>
      <c r="Y12" s="550">
        <v>43862</v>
      </c>
      <c r="Z12" t="s">
        <v>197</v>
      </c>
      <c r="AA12">
        <f>SUMIFS(レビュー管理!$O$11:$O$15,レビュー管理!$G$11:$G$15,ドキュメント指摘計測!Z12,レビュー管理!$J$11:$J$15,"&gt;="&amp;Y12,レビュー管理!$J$11:$J$15,"&lt;"&amp;EDATE(Y12,1))</f>
        <v>0</v>
      </c>
      <c r="AB12">
        <f>SUMIFS(レビュー管理!$AI$11:$AI$15,レビュー管理!$G$11:$G$15,ドキュメント指摘計測!Z12,レビュー管理!$J$11:$J$15,"&gt;="&amp;Y12,レビュー管理!$J$11:$J$15,"&lt;"&amp;EDATE(Y12,1))</f>
        <v>0</v>
      </c>
      <c r="AC12">
        <f t="shared" si="4"/>
        <v>0</v>
      </c>
      <c r="AE12" s="550">
        <v>43862</v>
      </c>
      <c r="AF12" t="s">
        <v>142</v>
      </c>
      <c r="AG12">
        <f>SUMIFS(レビュー管理!$O$11:$O$15,レビュー管理!$G$11:$G$15,ドキュメント指摘計測!AF12,レビュー管理!$J$11:$J$15,"&gt;="&amp;AE12,レビュー管理!$J$11:$J$15,"&lt;"&amp;EDATE(AE12,1))</f>
        <v>0</v>
      </c>
      <c r="AH12">
        <f>SUMIFS(レビュー管理!$AI$11:$AI$15,レビュー管理!$G$11:$G$15,ドキュメント指摘計測!AF12,レビュー管理!$J$11:$J$15,"&gt;="&amp;AE12,レビュー管理!$J$11:$J$15,"&lt;"&amp;EDATE(AE12,1))</f>
        <v>0</v>
      </c>
      <c r="AI12">
        <f t="shared" si="5"/>
        <v>0</v>
      </c>
      <c r="AK12" s="550">
        <v>43862</v>
      </c>
      <c r="AL12" t="s">
        <v>145</v>
      </c>
      <c r="AM12">
        <f>SUMIFS(レビュー管理!$O$11:$O$15,レビュー管理!$G$11:$G$15,ドキュメント指摘計測!AL12,レビュー管理!$J$11:$J$15,"&gt;="&amp;AK12,レビュー管理!$J$11:$J$15,"&lt;"&amp;EDATE(AK12,1))</f>
        <v>0</v>
      </c>
      <c r="AN12">
        <f>SUMIFS(レビュー管理!$AI$11:$AI$15,レビュー管理!$G$11:$G$15,ドキュメント指摘計測!AL12,レビュー管理!$J$11:$J$15,"&gt;="&amp;AK12,レビュー管理!$J$11:$J$15,"&lt;"&amp;EDATE(AK12,1))</f>
        <v>0</v>
      </c>
      <c r="AO12">
        <f t="shared" si="6"/>
        <v>0</v>
      </c>
      <c r="AQ12" s="550">
        <v>43862</v>
      </c>
      <c r="AR12" t="s">
        <v>143</v>
      </c>
      <c r="AS12">
        <f>SUMIFS(レビュー管理!$O$11:$O$15,レビュー管理!$G$11:$G$15,ドキュメント指摘計測!AR12,レビュー管理!$J$11:$J$15,"&gt;="&amp;AQ12,レビュー管理!$J$11:$J$15,"&lt;"&amp;EDATE(AQ12,1))</f>
        <v>0</v>
      </c>
      <c r="AT12">
        <f>SUMIFS(レビュー管理!$AI$11:$AI$15,レビュー管理!$G$11:$G$15,ドキュメント指摘計測!AR12,レビュー管理!$J$11:$J$15,"&gt;="&amp;AQ12,レビュー管理!$J$11:$J$15,"&lt;"&amp;EDATE(AQ12,1))</f>
        <v>0</v>
      </c>
      <c r="AU12">
        <f t="shared" si="7"/>
        <v>0</v>
      </c>
      <c r="AW12" s="550">
        <v>43862</v>
      </c>
      <c r="AX12" t="s">
        <v>146</v>
      </c>
      <c r="AY12">
        <f>SUMIFS(レビュー管理!$O$11:$O$15,レビュー管理!$G$11:$G$15,ドキュメント指摘計測!AX12,レビュー管理!$J$11:$J$15,"&gt;="&amp;AW12,レビュー管理!$J$11:$J$15,"&lt;"&amp;EDATE(AW12,1))</f>
        <v>0</v>
      </c>
      <c r="AZ12">
        <f>SUMIFS(レビュー管理!$AI$11:$AI$15,レビュー管理!$G$11:$G$15,ドキュメント指摘計測!AX12,レビュー管理!$J$11:$J$15,"&gt;="&amp;AW12,レビュー管理!$J$11:$J$15,"&lt;"&amp;EDATE(AW12,1))</f>
        <v>0</v>
      </c>
      <c r="BA12">
        <f t="shared" si="8"/>
        <v>0</v>
      </c>
      <c r="BC12" s="550">
        <v>43862</v>
      </c>
      <c r="BD12" t="s">
        <v>144</v>
      </c>
      <c r="BE12">
        <f>SUMIFS(レビュー管理!$O$11:$O$15,レビュー管理!$G$11:$G$15,ドキュメント指摘計測!BD12,レビュー管理!$J$11:$J$15,"&gt;="&amp;BC12,レビュー管理!$J$11:$J$15,"&lt;"&amp;EDATE(BC12,1))</f>
        <v>0</v>
      </c>
      <c r="BF12">
        <f>SUMIFS(レビュー管理!$AI$11:$AI$15,レビュー管理!$G$11:$G$15,ドキュメント指摘計測!BD12,レビュー管理!$J$11:$J$15,"&gt;="&amp;BC12,レビュー管理!$J$11:$J$15,"&lt;"&amp;EDATE(BC12,1))</f>
        <v>0</v>
      </c>
      <c r="BG12">
        <f t="shared" si="9"/>
        <v>0</v>
      </c>
      <c r="BI12" s="550">
        <v>43862</v>
      </c>
      <c r="BJ12" t="s">
        <v>147</v>
      </c>
      <c r="BK12">
        <f>SUMIFS(レビュー管理!$O$11:$O$15,レビュー管理!$G$11:$G$15,ドキュメント指摘計測!BJ12,レビュー管理!$J$11:$J$15,"&gt;="&amp;BI12,レビュー管理!$J$11:$J$15,"&lt;"&amp;EDATE(BI12,1))</f>
        <v>0</v>
      </c>
      <c r="BL12">
        <f>SUMIFS(レビュー管理!$AI$11:$AI$15,レビュー管理!$G$11:$G$15,ドキュメント指摘計測!BJ12,レビュー管理!$J$11:$J$15,"&gt;="&amp;BI12,レビュー管理!$J$11:$J$15,"&lt;"&amp;EDATE(BI12,1))</f>
        <v>0</v>
      </c>
      <c r="BM12">
        <f t="shared" si="10"/>
        <v>0</v>
      </c>
    </row>
    <row r="13" spans="1:65">
      <c r="A13" s="550">
        <v>43891</v>
      </c>
      <c r="B13" t="s">
        <v>198</v>
      </c>
      <c r="C13">
        <f>SUMIFS(レビュー管理!$O$11:$O$15,レビュー管理!$G$11:$G$15,ドキュメント指摘計測!B13,レビュー管理!$J$11:$J$15,"&gt;="&amp;A13,レビュー管理!$J$11:$J$15,"&lt;"&amp;EDATE(A13,1))</f>
        <v>0</v>
      </c>
      <c r="D13">
        <f>SUMIFS(レビュー管理!$AI$11:$AI$15,レビュー管理!$G$11:$G$15,ドキュメント指摘計測!B13,レビュー管理!$J$11:$J$15,"&gt;="&amp;A13,レビュー管理!$J$11:$J$15,"&lt;"&amp;EDATE(A13,1))</f>
        <v>0</v>
      </c>
      <c r="E13">
        <f t="shared" si="0"/>
        <v>0</v>
      </c>
      <c r="G13" s="550">
        <v>43891</v>
      </c>
      <c r="H13" t="s">
        <v>398</v>
      </c>
      <c r="I13">
        <f>SUMIFS(レビュー管理!$O$11:$O$15,レビュー管理!$G$11:$G$15,ドキュメント指摘計測!H13,レビュー管理!$J$11:$J$15,"&gt;="&amp;G13,レビュー管理!$J$11:$J$15,"&lt;"&amp;EDATE(G13,1))</f>
        <v>0</v>
      </c>
      <c r="J13">
        <f>SUMIFS(レビュー管理!$AI$11:$AI$15,レビュー管理!$G$11:$G$15,ドキュメント指摘計測!H13,レビュー管理!$J$11:$J$15,"&gt;="&amp;G13,レビュー管理!$J$11:$J$15,"&lt;"&amp;EDATE(G13,1))</f>
        <v>0</v>
      </c>
      <c r="K13">
        <f t="shared" si="1"/>
        <v>0</v>
      </c>
      <c r="M13" s="550">
        <v>43891</v>
      </c>
      <c r="N13" t="s">
        <v>140</v>
      </c>
      <c r="O13">
        <f>SUMIFS(レビュー管理!$O$11:$O$15,レビュー管理!$G$11:$G$15,ドキュメント指摘計測!N13,レビュー管理!$J$11:$J$15,"&gt;="&amp;M13,レビュー管理!$J$11:$J$15,"&lt;"&amp;EDATE(M13,1))</f>
        <v>0</v>
      </c>
      <c r="P13">
        <f>SUMIFS(レビュー管理!$AI$11:$AI$15,レビュー管理!$G$11:$G$15,ドキュメント指摘計測!N13,レビュー管理!$J$11:$J$15,"&gt;="&amp;M13,レビュー管理!$J$11:$J$15,"&lt;"&amp;EDATE(M13,1))</f>
        <v>0</v>
      </c>
      <c r="Q13">
        <f t="shared" si="2"/>
        <v>0</v>
      </c>
      <c r="S13" s="550">
        <v>43891</v>
      </c>
      <c r="T13" t="s">
        <v>141</v>
      </c>
      <c r="U13">
        <f>SUMIFS(レビュー管理!$O$11:$O$15,レビュー管理!$G$11:$G$15,ドキュメント指摘計測!T13,レビュー管理!$J$11:$J$15,"&gt;="&amp;S13,レビュー管理!$J$11:$J$15,"&lt;"&amp;EDATE(S13,1))</f>
        <v>0</v>
      </c>
      <c r="V13">
        <f>SUMIFS(レビュー管理!$AI$11:$AI$15,レビュー管理!$G$11:$G$15,ドキュメント指摘計測!T13,レビュー管理!$J$11:$J$15,"&gt;="&amp;S13,レビュー管理!$J$11:$J$15,"&lt;"&amp;EDATE(S13,1))</f>
        <v>0</v>
      </c>
      <c r="W13">
        <f t="shared" si="3"/>
        <v>0</v>
      </c>
      <c r="Y13" s="550">
        <v>43891</v>
      </c>
      <c r="Z13" t="s">
        <v>197</v>
      </c>
      <c r="AA13">
        <f>SUMIFS(レビュー管理!$O$11:$O$15,レビュー管理!$G$11:$G$15,ドキュメント指摘計測!Z13,レビュー管理!$J$11:$J$15,"&gt;="&amp;Y13,レビュー管理!$J$11:$J$15,"&lt;"&amp;EDATE(Y13,1))</f>
        <v>0</v>
      </c>
      <c r="AB13">
        <f>SUMIFS(レビュー管理!$AI$11:$AI$15,レビュー管理!$G$11:$G$15,ドキュメント指摘計測!Z13,レビュー管理!$J$11:$J$15,"&gt;="&amp;Y13,レビュー管理!$J$11:$J$15,"&lt;"&amp;EDATE(Y13,1))</f>
        <v>0</v>
      </c>
      <c r="AC13">
        <f t="shared" si="4"/>
        <v>0</v>
      </c>
      <c r="AE13" s="550">
        <v>43891</v>
      </c>
      <c r="AF13" t="s">
        <v>142</v>
      </c>
      <c r="AG13">
        <f>SUMIFS(レビュー管理!$O$11:$O$15,レビュー管理!$G$11:$G$15,ドキュメント指摘計測!AF13,レビュー管理!$J$11:$J$15,"&gt;="&amp;AE13,レビュー管理!$J$11:$J$15,"&lt;"&amp;EDATE(AE13,1))</f>
        <v>0</v>
      </c>
      <c r="AH13">
        <f>SUMIFS(レビュー管理!$AI$11:$AI$15,レビュー管理!$G$11:$G$15,ドキュメント指摘計測!AF13,レビュー管理!$J$11:$J$15,"&gt;="&amp;AE13,レビュー管理!$J$11:$J$15,"&lt;"&amp;EDATE(AE13,1))</f>
        <v>0</v>
      </c>
      <c r="AI13">
        <f t="shared" si="5"/>
        <v>0</v>
      </c>
      <c r="AK13" s="550">
        <v>43891</v>
      </c>
      <c r="AL13" t="s">
        <v>145</v>
      </c>
      <c r="AM13">
        <f>SUMIFS(レビュー管理!$O$11:$O$15,レビュー管理!$G$11:$G$15,ドキュメント指摘計測!AL13,レビュー管理!$J$11:$J$15,"&gt;="&amp;AK13,レビュー管理!$J$11:$J$15,"&lt;"&amp;EDATE(AK13,1))</f>
        <v>0</v>
      </c>
      <c r="AN13">
        <f>SUMIFS(レビュー管理!$AI$11:$AI$15,レビュー管理!$G$11:$G$15,ドキュメント指摘計測!AL13,レビュー管理!$J$11:$J$15,"&gt;="&amp;AK13,レビュー管理!$J$11:$J$15,"&lt;"&amp;EDATE(AK13,1))</f>
        <v>0</v>
      </c>
      <c r="AO13">
        <f t="shared" si="6"/>
        <v>0</v>
      </c>
      <c r="AQ13" s="550">
        <v>43891</v>
      </c>
      <c r="AR13" t="s">
        <v>143</v>
      </c>
      <c r="AS13">
        <f>SUMIFS(レビュー管理!$O$11:$O$15,レビュー管理!$G$11:$G$15,ドキュメント指摘計測!AR13,レビュー管理!$J$11:$J$15,"&gt;="&amp;AQ13,レビュー管理!$J$11:$J$15,"&lt;"&amp;EDATE(AQ13,1))</f>
        <v>0</v>
      </c>
      <c r="AT13">
        <f>SUMIFS(レビュー管理!$AI$11:$AI$15,レビュー管理!$G$11:$G$15,ドキュメント指摘計測!AR13,レビュー管理!$J$11:$J$15,"&gt;="&amp;AQ13,レビュー管理!$J$11:$J$15,"&lt;"&amp;EDATE(AQ13,1))</f>
        <v>0</v>
      </c>
      <c r="AU13">
        <f t="shared" si="7"/>
        <v>0</v>
      </c>
      <c r="AW13" s="550">
        <v>43891</v>
      </c>
      <c r="AX13" t="s">
        <v>146</v>
      </c>
      <c r="AY13">
        <f>SUMIFS(レビュー管理!$O$11:$O$15,レビュー管理!$G$11:$G$15,ドキュメント指摘計測!AX13,レビュー管理!$J$11:$J$15,"&gt;="&amp;AW13,レビュー管理!$J$11:$J$15,"&lt;"&amp;EDATE(AW13,1))</f>
        <v>0</v>
      </c>
      <c r="AZ13">
        <f>SUMIFS(レビュー管理!$AI$11:$AI$15,レビュー管理!$G$11:$G$15,ドキュメント指摘計測!AX13,レビュー管理!$J$11:$J$15,"&gt;="&amp;AW13,レビュー管理!$J$11:$J$15,"&lt;"&amp;EDATE(AW13,1))</f>
        <v>0</v>
      </c>
      <c r="BA13">
        <f t="shared" si="8"/>
        <v>0</v>
      </c>
      <c r="BC13" s="550">
        <v>43891</v>
      </c>
      <c r="BD13" t="s">
        <v>144</v>
      </c>
      <c r="BE13">
        <f>SUMIFS(レビュー管理!$O$11:$O$15,レビュー管理!$G$11:$G$15,ドキュメント指摘計測!BD13,レビュー管理!$J$11:$J$15,"&gt;="&amp;BC13,レビュー管理!$J$11:$J$15,"&lt;"&amp;EDATE(BC13,1))</f>
        <v>0</v>
      </c>
      <c r="BF13">
        <f>SUMIFS(レビュー管理!$AI$11:$AI$15,レビュー管理!$G$11:$G$15,ドキュメント指摘計測!BD13,レビュー管理!$J$11:$J$15,"&gt;="&amp;BC13,レビュー管理!$J$11:$J$15,"&lt;"&amp;EDATE(BC13,1))</f>
        <v>0</v>
      </c>
      <c r="BG13">
        <f t="shared" si="9"/>
        <v>0</v>
      </c>
      <c r="BI13" s="550">
        <v>43891</v>
      </c>
      <c r="BJ13" t="s">
        <v>147</v>
      </c>
      <c r="BK13">
        <f>SUMIFS(レビュー管理!$O$11:$O$15,レビュー管理!$G$11:$G$15,ドキュメント指摘計測!BJ13,レビュー管理!$J$11:$J$15,"&gt;="&amp;BI13,レビュー管理!$J$11:$J$15,"&lt;"&amp;EDATE(BI13,1))</f>
        <v>0</v>
      </c>
      <c r="BL13">
        <f>SUMIFS(レビュー管理!$AI$11:$AI$15,レビュー管理!$G$11:$G$15,ドキュメント指摘計測!BJ13,レビュー管理!$J$11:$J$15,"&gt;="&amp;BI13,レビュー管理!$J$11:$J$15,"&lt;"&amp;EDATE(BI13,1))</f>
        <v>0</v>
      </c>
      <c r="BM13">
        <f t="shared" si="10"/>
        <v>0</v>
      </c>
    </row>
    <row r="14" spans="1:65">
      <c r="A14" s="551"/>
      <c r="B14" s="552"/>
      <c r="C14" s="552"/>
      <c r="D14" s="552"/>
      <c r="E14" s="552"/>
      <c r="G14" s="552"/>
      <c r="H14" s="552"/>
      <c r="I14" s="552"/>
      <c r="J14" s="552"/>
      <c r="K14" s="552"/>
      <c r="M14" s="552"/>
      <c r="N14" s="552"/>
      <c r="O14" s="552"/>
      <c r="P14" s="552"/>
      <c r="Q14" s="552"/>
      <c r="S14" s="552"/>
      <c r="T14" s="552"/>
      <c r="U14" s="552"/>
      <c r="V14" s="552"/>
      <c r="W14" s="552"/>
      <c r="Y14" s="552"/>
      <c r="Z14" s="552"/>
      <c r="AA14" s="552"/>
      <c r="AB14" s="552"/>
      <c r="AC14" s="552"/>
      <c r="AE14" s="552"/>
      <c r="AF14" s="552"/>
      <c r="AG14" s="552"/>
      <c r="AH14" s="552"/>
      <c r="AI14" s="552"/>
      <c r="AK14" s="552"/>
      <c r="AL14" s="552"/>
      <c r="AM14" s="552"/>
      <c r="AN14" s="552"/>
      <c r="AO14" s="552"/>
      <c r="AQ14" s="552"/>
      <c r="AR14" s="552"/>
      <c r="AS14" s="552"/>
      <c r="AT14" s="552"/>
      <c r="AU14" s="552"/>
      <c r="AW14" s="552"/>
      <c r="AX14" s="552"/>
      <c r="AY14" s="552"/>
      <c r="AZ14" s="552"/>
      <c r="BA14" s="552"/>
      <c r="BC14" s="552"/>
      <c r="BD14" s="552"/>
      <c r="BE14" s="552"/>
      <c r="BF14" s="552"/>
      <c r="BG14" s="552"/>
      <c r="BI14" s="552"/>
      <c r="BJ14" s="552"/>
      <c r="BK14" s="552"/>
      <c r="BL14" s="552"/>
      <c r="BM14" s="552"/>
    </row>
    <row r="15" spans="1:65">
      <c r="A15" s="550"/>
    </row>
    <row r="16" spans="1:65">
      <c r="A16" s="550"/>
    </row>
    <row r="17" spans="1:1">
      <c r="A17" s="550"/>
    </row>
    <row r="18" spans="1:1">
      <c r="A18" s="550"/>
    </row>
    <row r="19" spans="1:1">
      <c r="A19" s="550"/>
    </row>
    <row r="20" spans="1:1">
      <c r="A20" s="550"/>
    </row>
    <row r="21" spans="1:1">
      <c r="A21" s="550"/>
    </row>
    <row r="22" spans="1:1">
      <c r="A22" s="550"/>
    </row>
    <row r="23" spans="1:1">
      <c r="A23" s="550"/>
    </row>
    <row r="24" spans="1:1">
      <c r="A24" s="550"/>
    </row>
    <row r="25" spans="1:1">
      <c r="A25" s="550"/>
    </row>
    <row r="26" spans="1:1">
      <c r="A26" s="550"/>
    </row>
    <row r="27" spans="1:1">
      <c r="A27" s="550"/>
    </row>
    <row r="28" spans="1:1">
      <c r="A28" s="550"/>
    </row>
    <row r="29" spans="1:1">
      <c r="A29" s="550"/>
    </row>
    <row r="30" spans="1:1">
      <c r="A30" s="550"/>
    </row>
    <row r="31" spans="1:1">
      <c r="A31" s="550"/>
    </row>
    <row r="32" spans="1:1">
      <c r="A32" s="550"/>
    </row>
    <row r="33" spans="1:1">
      <c r="A33" s="550"/>
    </row>
    <row r="34" spans="1:1">
      <c r="A34" s="550"/>
    </row>
    <row r="35" spans="1:1">
      <c r="A35" s="550"/>
    </row>
    <row r="36" spans="1:1">
      <c r="A36" s="550"/>
    </row>
    <row r="37" spans="1:1">
      <c r="A37" s="550"/>
    </row>
    <row r="38" spans="1:1">
      <c r="A38" s="550"/>
    </row>
    <row r="39" spans="1:1">
      <c r="A39" s="550"/>
    </row>
    <row r="40" spans="1:1">
      <c r="A40" s="550"/>
    </row>
    <row r="41" spans="1:1">
      <c r="A41" s="550"/>
    </row>
  </sheetData>
  <phoneticPr fontId="4"/>
  <dataValidations count="1">
    <dataValidation type="list" allowBlank="1" showInputMessage="1" showErrorMessage="1" sqref="B2:B41 H2:H13 N2:N13 T2:T13 Z2:Z13 AF2:AF13 AL2:AL13 AR2:AR13 AX2:AX13 BD2:BD13 BJ2:BJ13">
      <formula1>工程定義</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sheetPr>
  <dimension ref="A1"/>
  <sheetViews>
    <sheetView zoomScaleNormal="100" workbookViewId="0"/>
  </sheetViews>
  <sheetFormatPr defaultRowHeight="13.5"/>
  <sheetData/>
  <phoneticPr fontId="4"/>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114</vt:i4>
      </vt:variant>
    </vt:vector>
  </HeadingPairs>
  <TitlesOfParts>
    <vt:vector size="127" baseType="lpstr">
      <vt:lpstr>表紙</vt:lpstr>
      <vt:lpstr>マニュアル</vt:lpstr>
      <vt:lpstr>レビュー管理</vt:lpstr>
      <vt:lpstr>レビュー承認手順</vt:lpstr>
      <vt:lpstr>レビュー案内</vt:lpstr>
      <vt:lpstr>承認依頼</vt:lpstr>
      <vt:lpstr>集計結果</vt:lpstr>
      <vt:lpstr>記録#1</vt:lpstr>
      <vt:lpstr>記録#TMP</vt:lpstr>
      <vt:lpstr>選択肢定義</vt:lpstr>
      <vt:lpstr>テンプレート変更履歴</vt:lpstr>
      <vt:lpstr>ドキュメント指摘計測</vt:lpstr>
      <vt:lpstr>ドキュメント指摘グラフ</vt:lpstr>
      <vt:lpstr>レビュー案内!CC</vt:lpstr>
      <vt:lpstr>CC</vt:lpstr>
      <vt:lpstr>'記録#1'!LW.DT.C.No_R</vt:lpstr>
      <vt:lpstr>'記録#TMP'!LW.DT.C.No_R</vt:lpstr>
      <vt:lpstr>'記録#1'!LW.IT</vt:lpstr>
      <vt:lpstr>'記録#TMP'!LW.IT</vt:lpstr>
      <vt:lpstr>'記録#1'!LW.IT.C.AssignedTo_R</vt:lpstr>
      <vt:lpstr>'記録#TMP'!LW.IT.C.AssignedTo_R</vt:lpstr>
      <vt:lpstr>'記録#1'!LW.IT.C.ConfirmedBy_R</vt:lpstr>
      <vt:lpstr>'記録#TMP'!LW.IT.C.ConfirmedBy_R</vt:lpstr>
      <vt:lpstr>'記録#1'!LW.IT.C.CustomText1_R</vt:lpstr>
      <vt:lpstr>'記録#TMP'!LW.IT.C.CustomText1_R</vt:lpstr>
      <vt:lpstr>'記録#1'!LW.IT.C.CustomText2_R</vt:lpstr>
      <vt:lpstr>'記録#TMP'!LW.IT.C.CustomText2_R</vt:lpstr>
      <vt:lpstr>'記録#1'!LW.IT.C.CustomText5_R</vt:lpstr>
      <vt:lpstr>'記録#TMP'!LW.IT.C.CustomText5_R</vt:lpstr>
      <vt:lpstr>'記録#1'!LW.IT.C.DateConfirmed_R</vt:lpstr>
      <vt:lpstr>'記録#TMP'!LW.IT.C.DateConfirmed_R</vt:lpstr>
      <vt:lpstr>'記録#1'!LW.IT.C.DateFixed_R</vt:lpstr>
      <vt:lpstr>'記録#TMP'!LW.IT.C.DateFixed_R</vt:lpstr>
      <vt:lpstr>'記録#1'!LW.IT.C.Description_R</vt:lpstr>
      <vt:lpstr>'記録#TMP'!LW.IT.C.Description_R</vt:lpstr>
      <vt:lpstr>'記録#1'!LW.IT.C.Importance_R</vt:lpstr>
      <vt:lpstr>'記録#TMP'!LW.IT.C.Importance_R</vt:lpstr>
      <vt:lpstr>'記録#1'!LW.IT.C.LID_R</vt:lpstr>
      <vt:lpstr>'記録#TMP'!LW.IT.C.LID_R</vt:lpstr>
      <vt:lpstr>'記録#1'!LW.IT.C.NeedToFix_R</vt:lpstr>
      <vt:lpstr>'記録#TMP'!LW.IT.C.NeedToFix_R</vt:lpstr>
      <vt:lpstr>'記録#1'!LW.IT.C.OutlinePath_R</vt:lpstr>
      <vt:lpstr>'記録#TMP'!LW.IT.C.OutlinePath_R</vt:lpstr>
      <vt:lpstr>'記録#1'!LW.IT.C.Reason_R</vt:lpstr>
      <vt:lpstr>'記録#TMP'!LW.IT.C.Reason_R</vt:lpstr>
      <vt:lpstr>'記録#1'!LW.IT.C.ReportedBy_R</vt:lpstr>
      <vt:lpstr>'記録#TMP'!LW.IT.C.ReportedBy_R</vt:lpstr>
      <vt:lpstr>'記録#1'!LW.IT.C.Resolution_R</vt:lpstr>
      <vt:lpstr>'記録#TMP'!LW.IT.C.Resolution_R</vt:lpstr>
      <vt:lpstr>'記録#1'!LW.IT.C.Status_R</vt:lpstr>
      <vt:lpstr>'記録#TMP'!LW.IT.C.Status_R</vt:lpstr>
      <vt:lpstr>'記録#1'!LW.IT.C.Type_R</vt:lpstr>
      <vt:lpstr>'記録#TMP'!LW.IT.C.Type_R</vt:lpstr>
      <vt:lpstr>'記録#TMP'!LW.RvFile_01_QwA6AFwAdABhAGsAZQB0AGEAbgBpAFwAdwBvAHIAawBcAEwAYQBrAGUAdwBvAG8AZADGMPMw1zDsMPwwyDBfABZZ6JDVTthp_zCBiUJsmlupf_ww0zDlMPwwLgByAGUAdgB4AA</vt:lpstr>
      <vt:lpstr>'記録#1'!LW.RvFile_01_XABcAGQAYwBpAG4AYwAuAGwAbwBjAGEAbABcAGQAZQB2AGUAbABvAHAAXABwAHIAbwBqAGUAYwB0AFwAUAA2ADAANwA3ADAAeAB4AHgAXACoMPMwuDDLMKIw6jDzMLAwXAAwADIAXwDsMPMwuDDBMKcwwzCrMIuVenbVMKcw.DC6MDEAXAAxADAAXwCFUeiQ7DDTMOUw.DBc</vt:lpstr>
      <vt:lpstr>'記録#1'!LW.RvFile_02_AKFcLGfFYlNfBlJcABZZ6JDVTthp7DDTMOUw.DAuAHIAZQB2AHgA</vt:lpstr>
      <vt:lpstr>'記録#1'!No</vt:lpstr>
      <vt:lpstr>'記録#TMP'!No</vt:lpstr>
      <vt:lpstr>集計結果!Print_Area</vt:lpstr>
      <vt:lpstr>プロジェクト番号</vt:lpstr>
      <vt:lpstr>プロジェクト名</vt:lpstr>
      <vt:lpstr>メンバー</vt:lpstr>
      <vt:lpstr>レビュー案内!宛先</vt:lpstr>
      <vt:lpstr>宛先</vt:lpstr>
      <vt:lpstr>外部テスト実施</vt:lpstr>
      <vt:lpstr>外部テスト設計</vt:lpstr>
      <vt:lpstr>管理_シート</vt:lpstr>
      <vt:lpstr>管理_ステータス</vt:lpstr>
      <vt:lpstr>管理_計画レビュー時間</vt:lpstr>
      <vt:lpstr>管理_計画工数</vt:lpstr>
      <vt:lpstr>管理_計画成果量</vt:lpstr>
      <vt:lpstr>管理_計画日</vt:lpstr>
      <vt:lpstr>管理_工程</vt:lpstr>
      <vt:lpstr>管理_実績工数</vt:lpstr>
      <vt:lpstr>管理_実績成果</vt:lpstr>
      <vt:lpstr>管理_対象</vt:lpstr>
      <vt:lpstr>管理_摘出</vt:lpstr>
      <vt:lpstr>管理_内訳レビュー時間</vt:lpstr>
      <vt:lpstr>管理_内訳不具合</vt:lpstr>
      <vt:lpstr>管理_名称</vt:lpstr>
      <vt:lpstr>基準_レビュー管理</vt:lpstr>
      <vt:lpstr>'記録#1'!基準_レビュー記録</vt:lpstr>
      <vt:lpstr>'記録#TMP'!基準_レビュー記録</vt:lpstr>
      <vt:lpstr>集計結果!基準_混入工程</vt:lpstr>
      <vt:lpstr>基本設計</vt:lpstr>
      <vt:lpstr>機能</vt:lpstr>
      <vt:lpstr>'記録#1'!記録_ステータス</vt:lpstr>
      <vt:lpstr>'記録#TMP'!記録_ステータス</vt:lpstr>
      <vt:lpstr>'記録#1'!記録_レビュー時間</vt:lpstr>
      <vt:lpstr>'記録#TMP'!記録_レビュー時間</vt:lpstr>
      <vt:lpstr>'記録#1'!記録_確認担当</vt:lpstr>
      <vt:lpstr>'記録#TMP'!記録_確認担当</vt:lpstr>
      <vt:lpstr>'記録#1'!記録_警告</vt:lpstr>
      <vt:lpstr>'記録#TMP'!記録_警告</vt:lpstr>
      <vt:lpstr>'記録#1'!記録_工程</vt:lpstr>
      <vt:lpstr>'記録#TMP'!記録_工程</vt:lpstr>
      <vt:lpstr>'記録#1'!記録_作成工数</vt:lpstr>
      <vt:lpstr>'記録#TMP'!記録_作成工数</vt:lpstr>
      <vt:lpstr>'記録#1'!記録_初回レビュー計画</vt:lpstr>
      <vt:lpstr>'記録#TMP'!記録_初回レビュー計画</vt:lpstr>
      <vt:lpstr>'記録#1'!記録_成果量</vt:lpstr>
      <vt:lpstr>'記録#TMP'!記録_成果量</vt:lpstr>
      <vt:lpstr>'記録#1'!記録_対象成果物</vt:lpstr>
      <vt:lpstr>'記録#TMP'!記録_対象成果物</vt:lpstr>
      <vt:lpstr>'記録#1'!記録_不具合件数</vt:lpstr>
      <vt:lpstr>'記録#TMP'!記録_不具合件数</vt:lpstr>
      <vt:lpstr>業務分野</vt:lpstr>
      <vt:lpstr>警告</vt:lpstr>
      <vt:lpstr>結合テスト実施</vt:lpstr>
      <vt:lpstr>結合テスト設計</vt:lpstr>
      <vt:lpstr>レビュー案内!件名</vt:lpstr>
      <vt:lpstr>件名</vt:lpstr>
      <vt:lpstr>工程定義</vt:lpstr>
      <vt:lpstr>指摘種別</vt:lpstr>
      <vt:lpstr>詳細設計</vt:lpstr>
      <vt:lpstr>成果単位</vt:lpstr>
      <vt:lpstr>製作</vt:lpstr>
      <vt:lpstr>単体テスト実施</vt:lpstr>
      <vt:lpstr>単体テスト設計</vt:lpstr>
      <vt:lpstr>特性観点</vt:lpstr>
      <vt:lpstr>品質特性</vt:lpstr>
      <vt:lpstr>'記録#1'!不具合_種別</vt:lpstr>
      <vt:lpstr>'記録#TMP'!不具合_種別</vt:lpstr>
      <vt:lpstr>レビュー案内!本文</vt:lpstr>
      <vt:lpstr>本文</vt:lpstr>
      <vt:lpstr>要求定義</vt:lpstr>
      <vt:lpstr>要求分析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Kuboki Satoshi(久保木聡)</dc:creator>
  <cp:lastModifiedBy>Nakamura Yuki(中村悠暉)</cp:lastModifiedBy>
  <cp:lastPrinted>2006-07-25T05:41:59Z</cp:lastPrinted>
  <dcterms:created xsi:type="dcterms:W3CDTF">2006-05-26T05:41:15Z</dcterms:created>
  <dcterms:modified xsi:type="dcterms:W3CDTF">2019-12-02T06:36:38Z</dcterms:modified>
</cp:coreProperties>
</file>